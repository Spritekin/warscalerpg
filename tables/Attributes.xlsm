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230" codeName="{8C4F1C90-05EB-6A55-5F09-09C24B55AC0B}"/>
  <workbookPr codeName="ThisWorkbook" autoCompressPictures="0"/>
  <mc:AlternateContent xmlns:mc="http://schemas.openxmlformats.org/markup-compatibility/2006">
    <mc:Choice Requires="x15">
      <x15ac:absPath xmlns:x15ac="http://schemas.microsoft.com/office/spreadsheetml/2010/11/ac" url="/Users/Guimo/Documents/workspacecmcrc/WarscaleLib/RPG/"/>
    </mc:Choice>
  </mc:AlternateContent>
  <bookViews>
    <workbookView xWindow="120" yWindow="540" windowWidth="26440" windowHeight="21120" activeTab="12"/>
  </bookViews>
  <sheets>
    <sheet name="Attributes" sheetId="1" r:id="rId1"/>
    <sheet name="Sheet2" sheetId="2" r:id="rId2"/>
    <sheet name="MissileSpeed" sheetId="3" r:id="rId3"/>
    <sheet name="Materials" sheetId="4" r:id="rId4"/>
    <sheet name="Categories" sheetId="5" r:id="rId5"/>
    <sheet name="Size&amp;Weight" sheetId="6" r:id="rId6"/>
    <sheet name="Treasure" sheetId="7" r:id="rId7"/>
    <sheet name="CharacterSheet" sheetId="8" r:id="rId8"/>
    <sheet name="GMScreen" sheetId="9" r:id="rId9"/>
    <sheet name="Weapons" sheetId="10" r:id="rId10"/>
    <sheet name="Modifiers" sheetId="11" r:id="rId11"/>
    <sheet name="Skills" sheetId="12" r:id="rId12"/>
    <sheet name="SkillsSpecializations" sheetId="13" r:id="rId13"/>
  </sheets>
  <definedNames>
    <definedName name="armor">GMScreen!$A$90:$I$103</definedName>
    <definedName name="AxeAndPick">GMScreen!$A$53:$K$55</definedName>
    <definedName name="Blunt">GMScreen!$M$53:$W$57</definedName>
    <definedName name="Bow">GMScreen!$A$74:$K$76</definedName>
    <definedName name="Crossbow">GMScreen!$Y$79:$AI$81</definedName>
    <definedName name="Gemstones">GMScreen!$I$27:$L$43</definedName>
    <definedName name="Leather">GMScreen!$N$27:$Q$44</definedName>
    <definedName name="LongBlade">GMScreen!$M$67:$W$68</definedName>
    <definedName name="MeleeWeapons">GMScreen!$Y$85:$AC$100</definedName>
    <definedName name="Metal">GMScreen!$D$27:$G$45</definedName>
    <definedName name="MissileSpeeds">GMScreen!$K$90:$R$107</definedName>
    <definedName name="None">GMScreen!$I$45:$L$45</definedName>
    <definedName name="NoneWeapon">GMScreen!$A$84:$K$84</definedName>
    <definedName name="RacialModifiers">GMScreen!$A$2:$C$8</definedName>
    <definedName name="RangedWeapons">GMScreen!$AE$85:$AI$91</definedName>
    <definedName name="Shield">GMScreen!$M$77:$W$80</definedName>
    <definedName name="ShieldWeapons">GMScreen!$AE$96:$AI$100</definedName>
    <definedName name="ShortBlade">GMScreen!$A$63:$K$67</definedName>
    <definedName name="Wood">GMScreen!$S$27:$V$43</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W115" i="10" l="1"/>
  <c r="W116" i="10"/>
  <c r="X115" i="10"/>
  <c r="X116" i="10"/>
  <c r="Y115" i="10"/>
  <c r="Y116" i="10"/>
  <c r="W117" i="10"/>
  <c r="X117" i="10"/>
  <c r="Y117" i="10"/>
  <c r="U115" i="10"/>
  <c r="U116" i="10"/>
  <c r="U117" i="10"/>
  <c r="V115" i="10"/>
  <c r="V116" i="10"/>
  <c r="V117" i="10"/>
  <c r="V124" i="10"/>
  <c r="V125" i="10"/>
  <c r="V126" i="10"/>
  <c r="U99" i="10"/>
  <c r="AM43" i="4"/>
  <c r="AN43" i="4"/>
  <c r="AM85" i="4"/>
  <c r="AN85" i="4"/>
  <c r="AM53" i="4"/>
  <c r="AN53" i="4"/>
  <c r="AM28" i="4"/>
  <c r="AN28" i="4"/>
  <c r="AM3" i="4"/>
  <c r="AN3" i="4"/>
  <c r="AM39" i="4"/>
  <c r="AN39" i="4"/>
  <c r="AM34" i="4"/>
  <c r="AN34" i="4"/>
  <c r="AM86" i="4"/>
  <c r="AN86" i="4"/>
  <c r="AM78" i="4"/>
  <c r="AN78" i="4"/>
  <c r="AM72" i="4"/>
  <c r="AN72" i="4"/>
  <c r="AM13" i="4"/>
  <c r="AN13" i="4"/>
  <c r="AM20" i="4"/>
  <c r="AN20" i="4"/>
  <c r="AM24" i="4"/>
  <c r="AN24" i="4"/>
  <c r="AM61" i="4"/>
  <c r="AN61" i="4"/>
  <c r="AM44" i="4"/>
  <c r="AN44" i="4"/>
  <c r="AM57" i="4"/>
  <c r="AN57" i="4"/>
  <c r="AM15" i="4"/>
  <c r="AN15" i="4"/>
  <c r="AM11" i="4"/>
  <c r="AN11" i="4"/>
  <c r="AM58" i="4"/>
  <c r="AN58" i="4"/>
  <c r="AM10" i="4"/>
  <c r="AN10" i="4"/>
  <c r="AM32" i="4"/>
  <c r="AN32" i="4"/>
  <c r="AM48" i="4"/>
  <c r="AN48" i="4"/>
  <c r="AM21" i="4"/>
  <c r="AN21" i="4"/>
  <c r="AM22" i="4"/>
  <c r="AN22" i="4"/>
  <c r="AM45" i="4"/>
  <c r="AN45" i="4"/>
  <c r="AM84" i="4"/>
  <c r="AN84" i="4"/>
  <c r="AM9" i="4"/>
  <c r="AN9" i="4"/>
  <c r="AM62" i="4"/>
  <c r="AN62" i="4"/>
  <c r="AM81" i="4"/>
  <c r="AN81" i="4"/>
  <c r="AM76" i="4"/>
  <c r="AN76" i="4"/>
  <c r="AM46" i="4"/>
  <c r="AN46" i="4"/>
  <c r="AM59" i="4"/>
  <c r="AN59" i="4"/>
  <c r="AM26" i="4"/>
  <c r="AN26" i="4"/>
  <c r="AM91" i="4"/>
  <c r="AN91" i="4"/>
  <c r="AM63" i="4"/>
  <c r="AN63" i="4"/>
  <c r="AM66" i="4"/>
  <c r="AN66" i="4"/>
  <c r="AM94" i="4"/>
  <c r="AN94" i="4"/>
  <c r="AM95" i="4"/>
  <c r="AN95" i="4"/>
  <c r="AM67" i="4"/>
  <c r="AN67" i="4"/>
  <c r="AM30" i="4"/>
  <c r="AN30" i="4"/>
  <c r="AM36" i="4"/>
  <c r="AN36" i="4"/>
  <c r="AM40" i="4"/>
  <c r="AN40" i="4"/>
  <c r="AM51" i="4"/>
  <c r="AN51" i="4"/>
  <c r="AM52" i="4"/>
  <c r="AN52" i="4"/>
  <c r="AM96" i="4"/>
  <c r="AN96" i="4"/>
  <c r="AM12" i="4"/>
  <c r="AN12" i="4"/>
  <c r="AM2" i="4"/>
  <c r="AN2" i="4"/>
  <c r="AM19" i="4"/>
  <c r="AN19" i="4"/>
  <c r="AM77" i="4"/>
  <c r="AN77" i="4"/>
  <c r="AM97" i="4"/>
  <c r="AN97" i="4"/>
  <c r="AM55" i="4"/>
  <c r="AN55" i="4"/>
  <c r="AM64" i="4"/>
  <c r="AN64" i="4"/>
  <c r="AM68" i="4"/>
  <c r="AN68" i="4"/>
  <c r="AM31" i="4"/>
  <c r="AN31" i="4"/>
  <c r="AM37" i="4"/>
  <c r="AN37" i="4"/>
  <c r="AM75" i="4"/>
  <c r="AN75" i="4"/>
  <c r="AM16" i="4"/>
  <c r="AN16" i="4"/>
  <c r="AM79" i="4"/>
  <c r="AN79" i="4"/>
  <c r="AM60" i="4"/>
  <c r="AN60" i="4"/>
  <c r="AM49" i="4"/>
  <c r="AN49" i="4"/>
  <c r="AM6" i="4"/>
  <c r="AN6" i="4"/>
  <c r="AM5" i="4"/>
  <c r="AN5" i="4"/>
  <c r="AM71" i="4"/>
  <c r="AN71" i="4"/>
  <c r="AM70" i="4"/>
  <c r="AN70" i="4"/>
  <c r="AM25" i="4"/>
  <c r="AN25" i="4"/>
  <c r="AM93" i="4"/>
  <c r="AN93" i="4"/>
  <c r="AM92" i="4"/>
  <c r="AN92" i="4"/>
  <c r="AM27" i="4"/>
  <c r="AN27" i="4"/>
  <c r="AM8" i="4"/>
  <c r="AN8" i="4"/>
  <c r="AM83" i="4"/>
  <c r="AN83" i="4"/>
  <c r="AM42" i="4"/>
  <c r="AN42" i="4"/>
  <c r="AM33" i="4"/>
  <c r="AN33" i="4"/>
  <c r="AM4" i="4"/>
  <c r="AN4" i="4"/>
  <c r="AM7" i="4"/>
  <c r="AN7" i="4"/>
  <c r="AM54" i="4"/>
  <c r="AN54" i="4"/>
  <c r="AM74" i="4"/>
  <c r="AN74" i="4"/>
  <c r="AM82" i="4"/>
  <c r="AN82" i="4"/>
  <c r="AM29" i="4"/>
  <c r="AN29" i="4"/>
  <c r="AM80" i="4"/>
  <c r="AN80" i="4"/>
  <c r="AM14" i="4"/>
  <c r="AN14" i="4"/>
  <c r="AM41" i="4"/>
  <c r="AN41" i="4"/>
  <c r="AM56" i="4"/>
  <c r="AN56" i="4"/>
  <c r="AM73" i="4"/>
  <c r="AN73" i="4"/>
  <c r="AM90" i="4"/>
  <c r="AN90" i="4"/>
  <c r="AM35" i="4"/>
  <c r="AN35" i="4"/>
  <c r="AM88" i="4"/>
  <c r="AN88" i="4"/>
  <c r="AM89" i="4"/>
  <c r="AN89" i="4"/>
  <c r="AM38" i="4"/>
  <c r="AN38" i="4"/>
  <c r="AM87" i="4"/>
  <c r="AN87" i="4"/>
  <c r="AM69" i="4"/>
  <c r="AN69" i="4"/>
  <c r="AM50" i="4"/>
  <c r="AN50" i="4"/>
  <c r="AM18" i="4"/>
  <c r="AN18" i="4"/>
  <c r="AM23" i="4"/>
  <c r="AN23" i="4"/>
  <c r="AM17" i="4"/>
  <c r="AN17" i="4"/>
  <c r="AM47" i="4"/>
  <c r="AN47" i="4"/>
  <c r="AM65" i="4"/>
  <c r="AN65" i="4"/>
  <c r="AE56" i="4"/>
  <c r="AE41" i="4"/>
  <c r="AE14" i="4"/>
  <c r="AE80" i="4"/>
  <c r="AE29" i="4"/>
  <c r="AE82" i="4"/>
  <c r="AE74" i="4"/>
  <c r="AE54" i="4"/>
  <c r="AE7" i="4"/>
  <c r="AE4" i="4"/>
  <c r="AE33" i="4"/>
  <c r="AE42" i="4"/>
  <c r="AE83" i="4"/>
  <c r="AE8" i="4"/>
  <c r="AE27" i="4"/>
  <c r="AE92" i="4"/>
  <c r="AE93" i="4"/>
  <c r="AE25" i="4"/>
  <c r="AE70" i="4"/>
  <c r="AE71" i="4"/>
  <c r="AE5" i="4"/>
  <c r="AE6" i="4"/>
  <c r="AE49" i="4"/>
  <c r="AE60" i="4"/>
  <c r="AE79" i="4"/>
  <c r="AE16" i="4"/>
  <c r="AE75" i="4"/>
  <c r="AE37" i="4"/>
  <c r="AE31" i="4"/>
  <c r="AE68" i="4"/>
  <c r="AE64" i="4"/>
  <c r="AE55" i="4"/>
  <c r="AE97" i="4"/>
  <c r="AE77" i="4"/>
  <c r="AE19" i="4"/>
  <c r="AE2" i="4"/>
  <c r="AE12" i="4"/>
  <c r="AE96" i="4"/>
  <c r="AE52" i="4"/>
  <c r="AE51" i="4"/>
  <c r="AE40" i="4"/>
  <c r="AE36" i="4"/>
  <c r="AE30" i="4"/>
  <c r="AE67" i="4"/>
  <c r="AE95" i="4"/>
  <c r="AE94" i="4"/>
  <c r="AE66" i="4"/>
  <c r="AE63" i="4"/>
  <c r="AE91" i="4"/>
  <c r="AE26" i="4"/>
  <c r="AE59" i="4"/>
  <c r="AE46" i="4"/>
  <c r="AE76" i="4"/>
  <c r="AE81" i="4"/>
  <c r="AE62" i="4"/>
  <c r="AE9" i="4"/>
  <c r="AE84" i="4"/>
  <c r="AE45" i="4"/>
  <c r="AE22" i="4"/>
  <c r="AE21" i="4"/>
  <c r="AE48" i="4"/>
  <c r="AE32" i="4"/>
  <c r="AE10" i="4"/>
  <c r="AE58" i="4"/>
  <c r="AE11" i="4"/>
  <c r="AE15" i="4"/>
  <c r="AE57" i="4"/>
  <c r="AE44" i="4"/>
  <c r="AE61" i="4"/>
  <c r="AE24" i="4"/>
  <c r="AE20" i="4"/>
  <c r="AE13" i="4"/>
  <c r="AE72" i="4"/>
  <c r="AE78" i="4"/>
  <c r="AE86" i="4"/>
  <c r="AE34" i="4"/>
  <c r="AE39" i="4"/>
  <c r="AE3" i="4"/>
  <c r="AE28" i="4"/>
  <c r="AE53" i="4"/>
  <c r="AE85" i="4"/>
  <c r="AE65" i="4"/>
  <c r="AE47" i="4"/>
  <c r="AE17" i="4"/>
  <c r="AE23" i="4"/>
  <c r="AE18" i="4"/>
  <c r="AE50" i="4"/>
  <c r="AE69" i="4"/>
  <c r="AE87" i="4"/>
  <c r="AE38" i="4"/>
  <c r="AE89" i="4"/>
  <c r="AE88" i="4"/>
  <c r="AE35" i="4"/>
  <c r="AE90" i="4"/>
  <c r="AE73" i="4"/>
  <c r="AE43" i="4"/>
  <c r="AF31" i="4"/>
  <c r="AF30" i="4"/>
  <c r="AF29" i="4"/>
  <c r="AF28" i="4"/>
  <c r="AF27" i="4"/>
  <c r="AF26" i="4"/>
  <c r="AF25" i="4"/>
  <c r="AF24" i="4"/>
  <c r="AF23" i="4"/>
  <c r="AF22" i="4"/>
  <c r="AF21" i="4"/>
  <c r="AF20" i="4"/>
  <c r="AF19" i="4"/>
  <c r="AF18" i="4"/>
  <c r="AF17" i="4"/>
  <c r="AF72" i="4"/>
  <c r="AF71" i="4"/>
  <c r="AF70" i="4"/>
  <c r="AF69" i="4"/>
  <c r="AF68" i="4"/>
  <c r="AF67" i="4"/>
  <c r="AF66" i="4"/>
  <c r="AF65" i="4"/>
  <c r="AF64" i="4"/>
  <c r="AF63" i="4"/>
  <c r="AF62" i="4"/>
  <c r="AF61" i="4"/>
  <c r="AF60" i="4"/>
  <c r="AF59" i="4"/>
  <c r="AF58" i="4"/>
  <c r="AF57" i="4"/>
  <c r="AF56" i="4"/>
  <c r="AF55" i="4"/>
  <c r="AF54" i="4"/>
  <c r="AF97" i="4"/>
  <c r="AF96" i="4"/>
  <c r="AF95" i="4"/>
  <c r="AF94" i="4"/>
  <c r="AF93" i="4"/>
  <c r="AF92" i="4"/>
  <c r="AF91" i="4"/>
  <c r="AF90" i="4"/>
  <c r="AF89" i="4"/>
  <c r="AF88" i="4"/>
  <c r="AF87" i="4"/>
  <c r="AF86" i="4"/>
  <c r="AF85" i="4"/>
  <c r="AF84" i="4"/>
  <c r="AF83" i="4"/>
  <c r="AF82" i="4"/>
  <c r="AF81" i="4"/>
  <c r="AF80" i="4"/>
  <c r="AF79" i="4"/>
  <c r="AF75" i="4"/>
  <c r="AF76" i="4"/>
  <c r="AF74" i="4"/>
  <c r="AF78" i="4"/>
  <c r="AF77" i="4"/>
  <c r="AF73" i="4"/>
  <c r="AF53" i="4"/>
  <c r="AF52" i="4"/>
  <c r="AF51" i="4"/>
  <c r="AF50" i="4"/>
  <c r="AF49" i="4"/>
  <c r="AF48" i="4"/>
  <c r="AF47" i="4"/>
  <c r="AF46" i="4"/>
  <c r="AF45" i="4"/>
  <c r="AF44" i="4"/>
  <c r="AF43" i="4"/>
  <c r="AF42" i="4"/>
  <c r="AF41" i="4"/>
  <c r="AF40" i="4"/>
  <c r="AF39" i="4"/>
  <c r="AF38" i="4"/>
  <c r="AF37" i="4"/>
  <c r="AF36" i="4"/>
  <c r="AF35" i="4"/>
  <c r="AF34" i="4"/>
  <c r="AF33" i="4"/>
  <c r="AF32" i="4"/>
  <c r="AF16" i="4"/>
  <c r="AF15" i="4"/>
  <c r="AF14" i="4"/>
  <c r="AF13" i="4"/>
  <c r="AF12" i="4"/>
  <c r="AF11" i="4"/>
  <c r="AF10" i="4"/>
  <c r="AF9" i="4"/>
  <c r="AF8" i="4"/>
  <c r="AF7" i="4"/>
  <c r="AF6" i="4"/>
  <c r="AF5" i="4"/>
  <c r="AF4" i="4"/>
  <c r="AF3" i="4"/>
  <c r="AF2" i="4"/>
  <c r="V12" i="10"/>
  <c r="V10" i="10"/>
  <c r="K47" i="4"/>
  <c r="L48" i="4"/>
  <c r="M48" i="4"/>
  <c r="N48" i="4"/>
  <c r="O48" i="4"/>
  <c r="P48" i="4"/>
  <c r="L49" i="4"/>
  <c r="M49" i="4"/>
  <c r="N49" i="4"/>
  <c r="O49" i="4"/>
  <c r="P49" i="4"/>
  <c r="L50" i="4"/>
  <c r="M50" i="4"/>
  <c r="N50" i="4"/>
  <c r="O50" i="4"/>
  <c r="P50" i="4"/>
  <c r="L51" i="4"/>
  <c r="M51" i="4"/>
  <c r="N51" i="4"/>
  <c r="O51" i="4"/>
  <c r="P51" i="4"/>
  <c r="L52" i="4"/>
  <c r="M52" i="4"/>
  <c r="N52" i="4"/>
  <c r="O52" i="4"/>
  <c r="P52" i="4"/>
  <c r="L53" i="4"/>
  <c r="M53" i="4"/>
  <c r="N53" i="4"/>
  <c r="O53" i="4"/>
  <c r="P53" i="4"/>
  <c r="L54" i="4"/>
  <c r="M54" i="4"/>
  <c r="N54" i="4"/>
  <c r="O54" i="4"/>
  <c r="P54" i="4"/>
  <c r="L55" i="4"/>
  <c r="M55" i="4"/>
  <c r="N55" i="4"/>
  <c r="O55" i="4"/>
  <c r="P55" i="4"/>
  <c r="L56" i="4"/>
  <c r="M56" i="4"/>
  <c r="N56" i="4"/>
  <c r="O56" i="4"/>
  <c r="P56" i="4"/>
  <c r="L57" i="4"/>
  <c r="M57" i="4"/>
  <c r="N57" i="4"/>
  <c r="O57" i="4"/>
  <c r="P57" i="4"/>
  <c r="L58" i="4"/>
  <c r="M58" i="4"/>
  <c r="N58" i="4"/>
  <c r="O58" i="4"/>
  <c r="P58" i="4"/>
  <c r="M47" i="4"/>
  <c r="N47" i="4"/>
  <c r="O47" i="4"/>
  <c r="P47" i="4"/>
  <c r="L47" i="4"/>
  <c r="M44" i="4"/>
  <c r="N44" i="4"/>
  <c r="O44" i="4"/>
  <c r="P44" i="4"/>
  <c r="L44" i="4"/>
  <c r="K58" i="4"/>
  <c r="K48" i="4"/>
  <c r="K49" i="4"/>
  <c r="K50" i="4"/>
  <c r="K51" i="4"/>
  <c r="K52" i="4"/>
  <c r="K53" i="4"/>
  <c r="K54" i="4"/>
  <c r="K55" i="4"/>
  <c r="K56" i="4"/>
  <c r="K57" i="4"/>
  <c r="U60" i="4"/>
  <c r="U61" i="4"/>
  <c r="O37" i="4"/>
  <c r="V60" i="4"/>
  <c r="U57" i="4"/>
  <c r="V57" i="4"/>
  <c r="U58" i="4"/>
  <c r="V58" i="4"/>
  <c r="U59" i="4"/>
  <c r="V59" i="4"/>
  <c r="U56" i="4"/>
  <c r="V56" i="4"/>
  <c r="L60" i="4"/>
  <c r="P60" i="4"/>
  <c r="O60" i="4"/>
  <c r="M60" i="4"/>
  <c r="N60" i="4"/>
  <c r="N64" i="4"/>
  <c r="O64" i="4"/>
  <c r="P64" i="4"/>
  <c r="Q64" i="4"/>
  <c r="R64" i="4"/>
  <c r="T32" i="4"/>
  <c r="S31" i="4"/>
  <c r="U31" i="4"/>
  <c r="I28" i="4"/>
  <c r="J28" i="4"/>
  <c r="K28" i="4"/>
  <c r="I29" i="4"/>
  <c r="J29" i="4"/>
  <c r="K29" i="4"/>
  <c r="L29" i="4"/>
  <c r="I30" i="4"/>
  <c r="M28" i="4"/>
  <c r="N28" i="4"/>
  <c r="L28" i="4"/>
  <c r="L4" i="6"/>
  <c r="L5" i="6"/>
  <c r="L6" i="6"/>
  <c r="L7" i="6"/>
  <c r="L8" i="6"/>
  <c r="L9" i="6"/>
  <c r="L10" i="6"/>
  <c r="L11" i="6"/>
  <c r="L12" i="6"/>
  <c r="L13" i="6"/>
  <c r="L14" i="6"/>
  <c r="L15" i="6"/>
  <c r="L16" i="6"/>
  <c r="L17" i="6"/>
  <c r="L18" i="6"/>
  <c r="L3" i="6"/>
  <c r="J3" i="6"/>
  <c r="J4" i="6"/>
  <c r="J5" i="6"/>
  <c r="J6" i="6"/>
  <c r="J7" i="6"/>
  <c r="J8" i="6"/>
  <c r="J9" i="6"/>
  <c r="J10" i="6"/>
  <c r="J11" i="6"/>
  <c r="J12" i="6"/>
  <c r="J13" i="6"/>
  <c r="J14" i="6"/>
  <c r="J15" i="6"/>
  <c r="J16" i="6"/>
  <c r="J17" i="6"/>
  <c r="J18" i="6"/>
  <c r="K5" i="6"/>
  <c r="K6" i="6"/>
  <c r="K7" i="6"/>
  <c r="K8" i="6"/>
  <c r="K9" i="6"/>
  <c r="K10" i="6"/>
  <c r="K11" i="6"/>
  <c r="K12" i="6"/>
  <c r="K13" i="6"/>
  <c r="K14" i="6"/>
  <c r="K15" i="6"/>
  <c r="K16" i="6"/>
  <c r="K17" i="6"/>
  <c r="K18" i="6"/>
  <c r="K4" i="6"/>
  <c r="N5" i="6"/>
  <c r="N4" i="6"/>
  <c r="J10" i="11"/>
  <c r="G24" i="11"/>
  <c r="J24" i="11"/>
  <c r="S5" i="2"/>
  <c r="S6" i="2"/>
  <c r="S7" i="2"/>
  <c r="S8" i="2"/>
  <c r="S9" i="2"/>
  <c r="S10" i="2"/>
  <c r="S11" i="2"/>
  <c r="S12" i="2"/>
  <c r="S13" i="2"/>
  <c r="S14" i="2"/>
  <c r="S15" i="2"/>
  <c r="S16" i="2"/>
  <c r="S17" i="2"/>
  <c r="S4" i="2"/>
  <c r="T5" i="2"/>
  <c r="U5" i="2"/>
  <c r="V5" i="2"/>
  <c r="W5" i="2"/>
  <c r="X5" i="2"/>
  <c r="T6" i="2"/>
  <c r="U6" i="2"/>
  <c r="V6" i="2"/>
  <c r="W6" i="2"/>
  <c r="X6" i="2"/>
  <c r="T7" i="2"/>
  <c r="U7" i="2"/>
  <c r="V7" i="2"/>
  <c r="W7" i="2"/>
  <c r="X7" i="2"/>
  <c r="T8" i="2"/>
  <c r="U8" i="2"/>
  <c r="V8" i="2"/>
  <c r="W8" i="2"/>
  <c r="X8" i="2"/>
  <c r="T9" i="2"/>
  <c r="U9" i="2"/>
  <c r="V9" i="2"/>
  <c r="W9" i="2"/>
  <c r="X9" i="2"/>
  <c r="T10" i="2"/>
  <c r="U10" i="2"/>
  <c r="V10" i="2"/>
  <c r="W10" i="2"/>
  <c r="X10" i="2"/>
  <c r="T11" i="2"/>
  <c r="U11" i="2"/>
  <c r="V11" i="2"/>
  <c r="W11" i="2"/>
  <c r="X11" i="2"/>
  <c r="T12" i="2"/>
  <c r="U12" i="2"/>
  <c r="V12" i="2"/>
  <c r="W12" i="2"/>
  <c r="X12" i="2"/>
  <c r="T13" i="2"/>
  <c r="U13" i="2"/>
  <c r="V13" i="2"/>
  <c r="W13" i="2"/>
  <c r="X13" i="2"/>
  <c r="T14" i="2"/>
  <c r="U14" i="2"/>
  <c r="V14" i="2"/>
  <c r="W14" i="2"/>
  <c r="X14" i="2"/>
  <c r="T15" i="2"/>
  <c r="U15" i="2"/>
  <c r="V15" i="2"/>
  <c r="W15" i="2"/>
  <c r="X15" i="2"/>
  <c r="T16" i="2"/>
  <c r="U16" i="2"/>
  <c r="V16" i="2"/>
  <c r="W16" i="2"/>
  <c r="X16" i="2"/>
  <c r="T17" i="2"/>
  <c r="U17" i="2"/>
  <c r="V17" i="2"/>
  <c r="W17" i="2"/>
  <c r="X17" i="2"/>
  <c r="U4" i="2"/>
  <c r="V4" i="2"/>
  <c r="W4" i="2"/>
  <c r="X4" i="2"/>
  <c r="T4" i="2"/>
  <c r="O29" i="1"/>
  <c r="O30" i="1"/>
  <c r="O31" i="1"/>
  <c r="O32" i="1"/>
  <c r="O33" i="1"/>
  <c r="O34" i="1"/>
  <c r="O35" i="1"/>
  <c r="O36" i="1"/>
  <c r="O37" i="1"/>
  <c r="O38" i="1"/>
  <c r="O39" i="1"/>
  <c r="O40" i="1"/>
  <c r="O41" i="1"/>
  <c r="O42" i="1"/>
  <c r="O43" i="1"/>
  <c r="O44" i="1"/>
  <c r="O45" i="1"/>
  <c r="O46" i="1"/>
  <c r="T29" i="1"/>
  <c r="T30" i="1"/>
  <c r="T31" i="1"/>
  <c r="T32" i="1"/>
  <c r="T33" i="1"/>
  <c r="T34" i="1"/>
  <c r="T35" i="1"/>
  <c r="T36" i="1"/>
  <c r="T37" i="1"/>
  <c r="T38" i="1"/>
  <c r="T39" i="1"/>
  <c r="T40" i="1"/>
  <c r="T41" i="1"/>
  <c r="T42" i="1"/>
  <c r="T43" i="1"/>
  <c r="T44" i="1"/>
  <c r="T45" i="1"/>
  <c r="T46" i="1"/>
  <c r="T28" i="1"/>
  <c r="C135" i="8"/>
  <c r="D96" i="8"/>
  <c r="F68" i="8"/>
  <c r="F66" i="8"/>
  <c r="F57" i="8"/>
  <c r="F40" i="8"/>
  <c r="F56" i="8"/>
  <c r="F81" i="8"/>
  <c r="F52" i="8"/>
  <c r="F83" i="8"/>
  <c r="F65" i="8"/>
  <c r="F53" i="8"/>
  <c r="F72" i="8"/>
  <c r="F79" i="8"/>
  <c r="F88" i="8"/>
  <c r="F74" i="8"/>
  <c r="F86" i="8"/>
  <c r="F82" i="8"/>
  <c r="F71" i="8"/>
  <c r="F51" i="8"/>
  <c r="F41" i="8"/>
  <c r="F45" i="8"/>
  <c r="M23" i="1"/>
  <c r="U23" i="1"/>
  <c r="P23" i="1"/>
  <c r="Q23" i="1"/>
  <c r="R23" i="1"/>
  <c r="S23" i="1"/>
  <c r="T23" i="1"/>
  <c r="M22" i="1"/>
  <c r="U22" i="1"/>
  <c r="P22" i="1"/>
  <c r="Q22" i="1"/>
  <c r="R22" i="1"/>
  <c r="S22" i="1"/>
  <c r="T22" i="1"/>
  <c r="P3" i="1"/>
  <c r="Q3" i="1"/>
  <c r="R3" i="1"/>
  <c r="S3" i="1"/>
  <c r="T3" i="1"/>
  <c r="P4" i="1"/>
  <c r="Q4" i="1"/>
  <c r="R4" i="1"/>
  <c r="S4" i="1"/>
  <c r="T4" i="1"/>
  <c r="P5" i="1"/>
  <c r="Q5" i="1"/>
  <c r="R5" i="1"/>
  <c r="S5" i="1"/>
  <c r="T5" i="1"/>
  <c r="P6" i="1"/>
  <c r="Q6" i="1"/>
  <c r="R6" i="1"/>
  <c r="S6" i="1"/>
  <c r="T6" i="1"/>
  <c r="P7" i="1"/>
  <c r="Q7" i="1"/>
  <c r="R7" i="1"/>
  <c r="S7" i="1"/>
  <c r="T7" i="1"/>
  <c r="P8" i="1"/>
  <c r="Q8" i="1"/>
  <c r="R8" i="1"/>
  <c r="S8" i="1"/>
  <c r="T8" i="1"/>
  <c r="P9" i="1"/>
  <c r="Q9" i="1"/>
  <c r="R9" i="1"/>
  <c r="S9" i="1"/>
  <c r="T9" i="1"/>
  <c r="P10" i="1"/>
  <c r="Q10" i="1"/>
  <c r="R10" i="1"/>
  <c r="S10" i="1"/>
  <c r="T10" i="1"/>
  <c r="P11" i="1"/>
  <c r="Q11" i="1"/>
  <c r="R11" i="1"/>
  <c r="S11" i="1"/>
  <c r="T11" i="1"/>
  <c r="P12" i="1"/>
  <c r="Q12" i="1"/>
  <c r="R12" i="1"/>
  <c r="S12" i="1"/>
  <c r="T12" i="1"/>
  <c r="P13" i="1"/>
  <c r="Q13" i="1"/>
  <c r="R13" i="1"/>
  <c r="S13" i="1"/>
  <c r="T13" i="1"/>
  <c r="P14" i="1"/>
  <c r="Q14" i="1"/>
  <c r="R14" i="1"/>
  <c r="S14" i="1"/>
  <c r="T14" i="1"/>
  <c r="P15" i="1"/>
  <c r="Q15" i="1"/>
  <c r="R15" i="1"/>
  <c r="S15" i="1"/>
  <c r="T15" i="1"/>
  <c r="P16" i="1"/>
  <c r="Q16" i="1"/>
  <c r="R16" i="1"/>
  <c r="S16" i="1"/>
  <c r="T16" i="1"/>
  <c r="P17" i="1"/>
  <c r="Q17" i="1"/>
  <c r="R17" i="1"/>
  <c r="S17" i="1"/>
  <c r="T17" i="1"/>
  <c r="P18" i="1"/>
  <c r="Q18" i="1"/>
  <c r="R18" i="1"/>
  <c r="S18" i="1"/>
  <c r="T18" i="1"/>
  <c r="P19" i="1"/>
  <c r="Q19" i="1"/>
  <c r="R19" i="1"/>
  <c r="S19" i="1"/>
  <c r="T19" i="1"/>
  <c r="P20" i="1"/>
  <c r="Q20" i="1"/>
  <c r="R20" i="1"/>
  <c r="S20" i="1"/>
  <c r="T20" i="1"/>
  <c r="P21" i="1"/>
  <c r="Q21" i="1"/>
  <c r="R21" i="1"/>
  <c r="S21" i="1"/>
  <c r="T21" i="1"/>
  <c r="P2" i="1"/>
  <c r="Q2" i="1"/>
  <c r="R2" i="1"/>
  <c r="S2" i="1"/>
  <c r="T2" i="1"/>
  <c r="M3" i="1"/>
  <c r="U3" i="1"/>
  <c r="M4" i="1"/>
  <c r="U4" i="1"/>
  <c r="M5" i="1"/>
  <c r="U5" i="1"/>
  <c r="M6" i="1"/>
  <c r="U6" i="1"/>
  <c r="M7" i="1"/>
  <c r="U7" i="1"/>
  <c r="M8" i="1"/>
  <c r="U8" i="1"/>
  <c r="M9" i="1"/>
  <c r="U9" i="1"/>
  <c r="M10" i="1"/>
  <c r="U10" i="1"/>
  <c r="M11" i="1"/>
  <c r="U11" i="1"/>
  <c r="M12" i="1"/>
  <c r="U12" i="1"/>
  <c r="M13" i="1"/>
  <c r="U13" i="1"/>
  <c r="M14" i="1"/>
  <c r="U14" i="1"/>
  <c r="M15" i="1"/>
  <c r="U15" i="1"/>
  <c r="M16" i="1"/>
  <c r="U16" i="1"/>
  <c r="M17" i="1"/>
  <c r="U17" i="1"/>
  <c r="M18" i="1"/>
  <c r="U18" i="1"/>
  <c r="M19" i="1"/>
  <c r="U19" i="1"/>
  <c r="M20" i="1"/>
  <c r="U20" i="1"/>
  <c r="M21" i="1"/>
  <c r="U21" i="1"/>
  <c r="M2" i="1"/>
  <c r="U2" i="1"/>
  <c r="L11" i="9"/>
  <c r="I10" i="9"/>
  <c r="J13" i="9"/>
  <c r="M16" i="9"/>
  <c r="M5" i="9"/>
  <c r="K13" i="9"/>
  <c r="K11" i="9"/>
  <c r="K14" i="9"/>
  <c r="M10" i="9"/>
  <c r="K5" i="9"/>
  <c r="I4" i="9"/>
  <c r="L14" i="9"/>
  <c r="I21" i="9"/>
  <c r="I23" i="9"/>
  <c r="L22" i="9"/>
  <c r="L9" i="9"/>
  <c r="I8" i="9"/>
  <c r="M23" i="9"/>
  <c r="L21" i="9"/>
  <c r="J10" i="9"/>
  <c r="K8" i="9"/>
  <c r="M13" i="9"/>
  <c r="J12" i="9"/>
  <c r="K21" i="9"/>
  <c r="I22" i="9"/>
  <c r="J5" i="9"/>
  <c r="M15" i="9"/>
  <c r="L23" i="9"/>
  <c r="M17" i="9"/>
  <c r="K23" i="9"/>
  <c r="J22" i="9"/>
  <c r="L17" i="9"/>
  <c r="L12" i="9"/>
  <c r="I17" i="9"/>
  <c r="I16" i="9"/>
  <c r="L4" i="9"/>
  <c r="M21" i="9"/>
  <c r="I13" i="9"/>
  <c r="I14" i="9"/>
  <c r="L13" i="9"/>
  <c r="M7" i="9"/>
  <c r="M9" i="9"/>
  <c r="J14" i="9"/>
  <c r="J17" i="9"/>
  <c r="I6" i="9"/>
  <c r="I11" i="9"/>
  <c r="L10" i="9"/>
  <c r="M4" i="9"/>
  <c r="J15" i="9"/>
  <c r="K12" i="9"/>
  <c r="J9" i="9"/>
  <c r="K20" i="9"/>
  <c r="J24" i="9"/>
  <c r="M8" i="9"/>
  <c r="K15" i="9"/>
  <c r="K17" i="9"/>
  <c r="K22" i="9"/>
  <c r="J11" i="9"/>
  <c r="K6" i="9"/>
  <c r="L18" i="9"/>
  <c r="M24" i="9"/>
  <c r="J16" i="9"/>
  <c r="J23" i="9"/>
  <c r="M6" i="9"/>
  <c r="L24" i="9"/>
  <c r="K9" i="9"/>
  <c r="L20" i="9"/>
  <c r="I18" i="9"/>
  <c r="K7" i="9"/>
  <c r="L8" i="9"/>
  <c r="J6" i="9"/>
  <c r="L19" i="9"/>
  <c r="J20" i="9"/>
  <c r="I20" i="9"/>
  <c r="M20" i="9"/>
  <c r="J4" i="9"/>
  <c r="L7" i="9"/>
  <c r="J7" i="9"/>
  <c r="I5" i="9"/>
  <c r="M12" i="9"/>
  <c r="M19" i="9"/>
  <c r="K16" i="9"/>
  <c r="I19" i="9"/>
  <c r="I12" i="9"/>
  <c r="J18" i="9"/>
  <c r="M18" i="9"/>
  <c r="K4" i="9"/>
  <c r="K10" i="9"/>
  <c r="M14" i="9"/>
  <c r="L5" i="9"/>
  <c r="L16" i="9"/>
  <c r="I24" i="9"/>
  <c r="J8" i="9"/>
  <c r="I7" i="9"/>
  <c r="M11" i="9"/>
  <c r="I9" i="9"/>
  <c r="K24" i="9"/>
  <c r="K18" i="9"/>
  <c r="L15" i="9"/>
  <c r="L6" i="9"/>
  <c r="K19" i="9"/>
  <c r="J19" i="9"/>
  <c r="J21" i="9"/>
  <c r="M22" i="9"/>
  <c r="I15" i="9"/>
  <c r="AB18" i="1"/>
  <c r="AC18" i="1"/>
  <c r="AB12" i="1"/>
  <c r="AC12" i="1"/>
  <c r="AB23" i="1"/>
  <c r="AC23" i="1"/>
  <c r="AB11" i="1"/>
  <c r="AC11" i="1"/>
  <c r="AB20" i="1"/>
  <c r="AC20" i="1"/>
  <c r="AB10" i="1"/>
  <c r="AC10" i="1"/>
  <c r="AB19" i="1"/>
  <c r="AC19" i="1"/>
  <c r="AB3" i="1"/>
  <c r="AC3" i="1"/>
  <c r="AB22" i="1"/>
  <c r="AC22" i="1"/>
  <c r="AB14" i="1"/>
  <c r="AC14" i="1"/>
  <c r="AB6" i="1"/>
  <c r="AC6" i="1"/>
  <c r="AB21" i="1"/>
  <c r="AC21" i="1"/>
  <c r="AB17" i="1"/>
  <c r="AC17" i="1"/>
  <c r="AB13" i="1"/>
  <c r="AC13" i="1"/>
  <c r="AB9" i="1"/>
  <c r="AC9" i="1"/>
  <c r="AB5" i="1"/>
  <c r="AC5" i="1"/>
  <c r="AB15" i="1"/>
  <c r="AC15" i="1"/>
  <c r="AB7" i="1"/>
  <c r="AC7" i="1"/>
  <c r="AB2" i="1"/>
  <c r="AC2" i="1"/>
  <c r="AB4" i="1"/>
  <c r="AC4" i="1"/>
  <c r="AB16" i="1"/>
  <c r="AC16" i="1"/>
  <c r="AB8" i="1"/>
  <c r="AC8" i="1"/>
  <c r="W19" i="1"/>
  <c r="X19" i="1"/>
  <c r="Y19" i="1"/>
  <c r="Z19" i="1"/>
  <c r="W17" i="1"/>
  <c r="X17" i="1"/>
  <c r="Y17" i="1"/>
  <c r="Z17" i="1"/>
  <c r="W10" i="1"/>
  <c r="X10" i="1"/>
  <c r="Y10" i="1"/>
  <c r="Z10" i="1"/>
  <c r="W9" i="1"/>
  <c r="X9" i="1"/>
  <c r="Y9" i="1"/>
  <c r="Z9" i="1"/>
  <c r="W3" i="1"/>
  <c r="X3" i="1"/>
  <c r="Y3" i="1"/>
  <c r="Z3" i="1"/>
  <c r="W15" i="1"/>
  <c r="X15" i="1"/>
  <c r="Y15" i="1"/>
  <c r="Z15" i="1"/>
  <c r="W11" i="1"/>
  <c r="X11" i="1"/>
  <c r="Y11" i="1"/>
  <c r="Z11" i="1"/>
  <c r="W7" i="1"/>
  <c r="X7" i="1"/>
  <c r="Y7" i="1"/>
  <c r="Z7" i="1"/>
  <c r="W18" i="1"/>
  <c r="X18" i="1"/>
  <c r="Y18" i="1"/>
  <c r="Z18" i="1"/>
  <c r="W2" i="1"/>
  <c r="X2" i="1"/>
  <c r="Y2" i="1"/>
  <c r="Z2" i="1"/>
  <c r="W16" i="1"/>
  <c r="X16" i="1"/>
  <c r="Y16" i="1"/>
  <c r="Z16" i="1"/>
  <c r="W8" i="1"/>
  <c r="X8" i="1"/>
  <c r="Y8" i="1"/>
  <c r="Z8" i="1"/>
  <c r="W23" i="1"/>
  <c r="X23" i="1"/>
  <c r="Y23" i="1"/>
  <c r="Z23" i="1"/>
  <c r="W22" i="1"/>
  <c r="X22" i="1"/>
  <c r="Y22" i="1"/>
  <c r="Z22" i="1"/>
  <c r="W14" i="1"/>
  <c r="X14" i="1"/>
  <c r="Y14" i="1"/>
  <c r="Z14" i="1"/>
  <c r="W6" i="1"/>
  <c r="X6" i="1"/>
  <c r="Y6" i="1"/>
  <c r="Z6" i="1"/>
  <c r="W21" i="1"/>
  <c r="X21" i="1"/>
  <c r="Y21" i="1"/>
  <c r="Z21" i="1"/>
  <c r="W13" i="1"/>
  <c r="X13" i="1"/>
  <c r="Y13" i="1"/>
  <c r="Z13" i="1"/>
  <c r="W5" i="1"/>
  <c r="X5" i="1"/>
  <c r="Y5" i="1"/>
  <c r="Z5" i="1"/>
  <c r="W20" i="1"/>
  <c r="X20" i="1"/>
  <c r="Y20" i="1"/>
  <c r="Z20" i="1"/>
  <c r="W12" i="1"/>
  <c r="X12" i="1"/>
  <c r="Y12" i="1"/>
  <c r="Z12" i="1"/>
  <c r="W4" i="1"/>
  <c r="X4" i="1"/>
  <c r="Y4" i="1"/>
  <c r="Z4" i="1"/>
  <c r="R4" i="9"/>
  <c r="S4" i="9"/>
  <c r="T4" i="9"/>
  <c r="R17" i="9"/>
  <c r="R24" i="9"/>
  <c r="R10" i="9"/>
  <c r="N10" i="9"/>
  <c r="O10" i="9"/>
  <c r="P10" i="9"/>
  <c r="Q10" i="9"/>
  <c r="Q24" i="9"/>
  <c r="P24" i="9"/>
  <c r="O24" i="9"/>
  <c r="N24" i="9"/>
  <c r="Q17" i="9"/>
  <c r="P17" i="9"/>
  <c r="O17" i="9"/>
  <c r="N17" i="9"/>
  <c r="W24" i="9"/>
  <c r="V24" i="9"/>
  <c r="U24" i="9"/>
  <c r="T24" i="9"/>
  <c r="C21" i="8"/>
  <c r="C17" i="8"/>
  <c r="C13" i="8"/>
  <c r="C11" i="8"/>
  <c r="C9" i="8"/>
  <c r="C5" i="8"/>
  <c r="J29" i="8"/>
  <c r="J30" i="8"/>
  <c r="J34" i="8"/>
  <c r="J28" i="8"/>
  <c r="J33" i="8"/>
  <c r="J37" i="8"/>
  <c r="D24" i="8"/>
  <c r="C34" i="8"/>
  <c r="C24" i="8"/>
  <c r="H37" i="8"/>
  <c r="F34" i="8"/>
  <c r="C29" i="8"/>
  <c r="F28" i="8"/>
  <c r="F37" i="8"/>
  <c r="C28" i="8"/>
  <c r="C33" i="8"/>
  <c r="C30" i="8"/>
  <c r="H30" i="8"/>
  <c r="H34" i="8"/>
  <c r="C37" i="8"/>
  <c r="H33" i="8"/>
  <c r="F33" i="8"/>
  <c r="H29" i="8"/>
  <c r="F29" i="8"/>
  <c r="H28" i="8"/>
  <c r="F30" i="8"/>
  <c r="I34" i="8"/>
  <c r="E34" i="8"/>
  <c r="G34" i="8"/>
  <c r="E37" i="8"/>
  <c r="G37" i="8"/>
  <c r="E33" i="8"/>
  <c r="G33" i="8"/>
  <c r="G30" i="8"/>
  <c r="G29" i="8"/>
  <c r="E30" i="8"/>
  <c r="E29" i="8"/>
  <c r="G28" i="8"/>
  <c r="E24" i="8"/>
  <c r="F24" i="8"/>
  <c r="H24" i="8"/>
  <c r="D11" i="8"/>
  <c r="E11" i="8"/>
  <c r="D21" i="8"/>
  <c r="D17" i="8"/>
  <c r="D13" i="8"/>
  <c r="D5" i="8"/>
  <c r="E48" i="8"/>
  <c r="E45" i="8"/>
  <c r="H45" i="8"/>
  <c r="I45" i="8"/>
  <c r="E92" i="8"/>
  <c r="E91" i="8"/>
  <c r="E90" i="8"/>
  <c r="E94" i="8"/>
  <c r="E93" i="8"/>
  <c r="E95" i="8"/>
  <c r="E89" i="8"/>
  <c r="E42" i="8"/>
  <c r="E52" i="8"/>
  <c r="H52" i="8"/>
  <c r="E51" i="8"/>
  <c r="H51" i="8"/>
  <c r="E54" i="8"/>
  <c r="E40" i="8"/>
  <c r="H40" i="8"/>
  <c r="E78" i="8"/>
  <c r="E82" i="8"/>
  <c r="H82" i="8"/>
  <c r="I82" i="8"/>
  <c r="E73" i="8"/>
  <c r="E41" i="8"/>
  <c r="H41" i="8"/>
  <c r="E77" i="8"/>
  <c r="E49" i="8"/>
  <c r="E64" i="8"/>
  <c r="E81" i="8"/>
  <c r="H81" i="8"/>
  <c r="E71" i="8"/>
  <c r="H71" i="8"/>
  <c r="E63" i="8"/>
  <c r="E47" i="8"/>
  <c r="E60" i="8"/>
  <c r="E86" i="8"/>
  <c r="H86" i="8"/>
  <c r="I86" i="8"/>
  <c r="E80" i="8"/>
  <c r="E44" i="8"/>
  <c r="E58" i="8"/>
  <c r="E59" i="8"/>
  <c r="E68" i="8"/>
  <c r="H68" i="8"/>
  <c r="E50" i="8"/>
  <c r="E76" i="8"/>
  <c r="E67" i="8"/>
  <c r="E43" i="8"/>
  <c r="E74" i="8"/>
  <c r="H74" i="8"/>
  <c r="E70" i="8"/>
  <c r="E87" i="8"/>
  <c r="E15" i="8"/>
  <c r="E13" i="8"/>
  <c r="E19" i="8"/>
  <c r="E17" i="8"/>
  <c r="E21" i="8"/>
  <c r="E5" i="8"/>
  <c r="E7" i="8"/>
  <c r="I37" i="8"/>
  <c r="I30" i="8"/>
  <c r="I29" i="8"/>
  <c r="I28" i="8"/>
  <c r="I33" i="8"/>
  <c r="F92" i="8"/>
  <c r="F78" i="8"/>
  <c r="F59" i="8"/>
  <c r="F49" i="8"/>
  <c r="F90" i="8"/>
  <c r="F95" i="8"/>
  <c r="F64" i="8"/>
  <c r="F84" i="8"/>
  <c r="F48" i="8"/>
  <c r="F54" i="8"/>
  <c r="F76" i="8"/>
  <c r="F93" i="8"/>
  <c r="F91" i="8"/>
  <c r="F62" i="8"/>
  <c r="F44" i="8"/>
  <c r="F94" i="8"/>
  <c r="F77" i="8"/>
  <c r="F89" i="8"/>
  <c r="F67" i="8"/>
  <c r="I68" i="8"/>
  <c r="H95" i="8"/>
  <c r="I95" i="8"/>
  <c r="I71" i="8"/>
  <c r="I81" i="8"/>
  <c r="I40" i="8"/>
  <c r="H94" i="8"/>
  <c r="I94" i="8"/>
  <c r="I51" i="8"/>
  <c r="H77" i="8"/>
  <c r="I77" i="8"/>
  <c r="I52" i="8"/>
  <c r="H92" i="8"/>
  <c r="I92" i="8"/>
  <c r="H78" i="8"/>
  <c r="I78" i="8"/>
  <c r="I74" i="8"/>
  <c r="H54" i="8"/>
  <c r="I54" i="8"/>
  <c r="H91" i="8"/>
  <c r="I91" i="8"/>
  <c r="H76" i="8"/>
  <c r="I76" i="8"/>
  <c r="H59" i="8"/>
  <c r="H93" i="8"/>
  <c r="I93" i="8"/>
  <c r="H44" i="8"/>
  <c r="H64" i="8"/>
  <c r="I64" i="8"/>
  <c r="H90" i="8"/>
  <c r="I90" i="8"/>
  <c r="H49" i="8"/>
  <c r="I49" i="8"/>
  <c r="H67" i="8"/>
  <c r="I67" i="8"/>
  <c r="H89" i="8"/>
  <c r="I89" i="8"/>
  <c r="H48" i="8"/>
  <c r="I48" i="8"/>
  <c r="I41" i="8"/>
  <c r="I24" i="8"/>
  <c r="G13" i="8"/>
  <c r="E28" i="8"/>
  <c r="G21" i="8"/>
  <c r="G19" i="8"/>
  <c r="G17" i="8"/>
  <c r="F5" i="8"/>
  <c r="G5" i="8"/>
  <c r="F80" i="8"/>
  <c r="F50" i="8"/>
  <c r="H50" i="8"/>
  <c r="H80" i="8"/>
  <c r="I80" i="8"/>
  <c r="I59" i="8"/>
  <c r="I44" i="8"/>
  <c r="H5" i="8"/>
  <c r="I5" i="8"/>
  <c r="D9" i="8"/>
  <c r="E55" i="8"/>
  <c r="F58" i="8"/>
  <c r="H58" i="8"/>
  <c r="I58" i="8"/>
  <c r="I50" i="8"/>
  <c r="E53" i="8"/>
  <c r="H53" i="8"/>
  <c r="E46" i="8"/>
  <c r="E85" i="8"/>
  <c r="E66" i="8"/>
  <c r="H66" i="8"/>
  <c r="I66" i="8"/>
  <c r="E79" i="8"/>
  <c r="H79" i="8"/>
  <c r="I79" i="8"/>
  <c r="E56" i="8"/>
  <c r="H56" i="8"/>
  <c r="E84" i="8"/>
  <c r="H84" i="8"/>
  <c r="I84" i="8"/>
  <c r="E88" i="8"/>
  <c r="H88" i="8"/>
  <c r="E83" i="8"/>
  <c r="H83" i="8"/>
  <c r="I83" i="8"/>
  <c r="E57" i="8"/>
  <c r="H57" i="8"/>
  <c r="E72" i="8"/>
  <c r="H72" i="8"/>
  <c r="E65" i="8"/>
  <c r="H65" i="8"/>
  <c r="E61" i="8"/>
  <c r="E62" i="8"/>
  <c r="H62" i="8"/>
  <c r="I62" i="8"/>
  <c r="E69" i="8"/>
  <c r="E75" i="8"/>
  <c r="E9" i="8"/>
  <c r="G4" i="7"/>
  <c r="G5" i="7"/>
  <c r="G6" i="7"/>
  <c r="G7" i="7"/>
  <c r="G8" i="7"/>
  <c r="G9" i="7"/>
  <c r="G10" i="7"/>
  <c r="G11" i="7"/>
  <c r="G12" i="7"/>
  <c r="G13" i="7"/>
  <c r="G14" i="7"/>
  <c r="G15" i="7"/>
  <c r="G16" i="7"/>
  <c r="G17" i="7"/>
  <c r="G18" i="7"/>
  <c r="G19" i="7"/>
  <c r="G20" i="7"/>
  <c r="G21" i="7"/>
  <c r="G22" i="7"/>
  <c r="G3" i="7"/>
  <c r="F75" i="8"/>
  <c r="F85" i="8"/>
  <c r="F55" i="8"/>
  <c r="F60" i="8"/>
  <c r="F69" i="8"/>
  <c r="F61" i="8"/>
  <c r="F43" i="8"/>
  <c r="F47" i="8"/>
  <c r="F46" i="8"/>
  <c r="F63" i="8"/>
  <c r="J16" i="7"/>
  <c r="H16" i="7"/>
  <c r="J8" i="7"/>
  <c r="H8" i="7"/>
  <c r="H3" i="7"/>
  <c r="J3" i="7"/>
  <c r="H15" i="7"/>
  <c r="J15" i="7"/>
  <c r="H7" i="7"/>
  <c r="J7" i="7"/>
  <c r="H22" i="7"/>
  <c r="J22" i="7"/>
  <c r="H14" i="7"/>
  <c r="J14" i="7"/>
  <c r="H6" i="7"/>
  <c r="J6" i="7"/>
  <c r="J11" i="7"/>
  <c r="H11" i="7"/>
  <c r="J18" i="7"/>
  <c r="H18" i="7"/>
  <c r="H10" i="7"/>
  <c r="J10" i="7"/>
  <c r="H21" i="7"/>
  <c r="J21" i="7"/>
  <c r="H13" i="7"/>
  <c r="J13" i="7"/>
  <c r="H5" i="7"/>
  <c r="J5" i="7"/>
  <c r="H20" i="7"/>
  <c r="J20" i="7"/>
  <c r="H12" i="7"/>
  <c r="J12" i="7"/>
  <c r="H4" i="7"/>
  <c r="J4" i="7"/>
  <c r="H19" i="7"/>
  <c r="J19" i="7"/>
  <c r="H17" i="7"/>
  <c r="J17" i="7"/>
  <c r="H9" i="7"/>
  <c r="J9" i="7"/>
  <c r="H60" i="8"/>
  <c r="I60" i="8"/>
  <c r="H47" i="8"/>
  <c r="I47" i="8"/>
  <c r="H63" i="8"/>
  <c r="I63" i="8"/>
  <c r="H43" i="8"/>
  <c r="I43" i="8"/>
  <c r="H55" i="8"/>
  <c r="I55" i="8"/>
  <c r="H61" i="8"/>
  <c r="I61" i="8"/>
  <c r="H85" i="8"/>
  <c r="I85" i="8"/>
  <c r="H46" i="8"/>
  <c r="I53" i="8"/>
  <c r="I56" i="8"/>
  <c r="I65" i="8"/>
  <c r="I72" i="8"/>
  <c r="I57" i="8"/>
  <c r="H75" i="8"/>
  <c r="I75" i="8"/>
  <c r="I88" i="8"/>
  <c r="H69" i="8"/>
  <c r="I69" i="8"/>
  <c r="D4" i="7"/>
  <c r="F4" i="7"/>
  <c r="D5" i="7"/>
  <c r="F5" i="7"/>
  <c r="D6" i="7"/>
  <c r="F6" i="7"/>
  <c r="D7" i="7"/>
  <c r="F7" i="7"/>
  <c r="D8" i="7"/>
  <c r="F8" i="7"/>
  <c r="D9" i="7"/>
  <c r="F9" i="7"/>
  <c r="D10" i="7"/>
  <c r="F10" i="7"/>
  <c r="D11" i="7"/>
  <c r="F11" i="7"/>
  <c r="D12" i="7"/>
  <c r="F12" i="7"/>
  <c r="D13" i="7"/>
  <c r="F13" i="7"/>
  <c r="D14" i="7"/>
  <c r="F14" i="7"/>
  <c r="D15" i="7"/>
  <c r="F15" i="7"/>
  <c r="D16" i="7"/>
  <c r="F16" i="7"/>
  <c r="D17" i="7"/>
  <c r="F17" i="7"/>
  <c r="D18" i="7"/>
  <c r="F18" i="7"/>
  <c r="D19" i="7"/>
  <c r="F19" i="7"/>
  <c r="D20" i="7"/>
  <c r="F20" i="7"/>
  <c r="D21" i="7"/>
  <c r="F21" i="7"/>
  <c r="D22" i="7"/>
  <c r="F22" i="7"/>
  <c r="D3" i="7"/>
  <c r="F3" i="7"/>
  <c r="B4" i="7"/>
  <c r="C4" i="7"/>
  <c r="E4" i="7"/>
  <c r="B5" i="7"/>
  <c r="C5" i="7"/>
  <c r="E5" i="7"/>
  <c r="B6" i="7"/>
  <c r="C6" i="7"/>
  <c r="E6" i="7"/>
  <c r="B7" i="7"/>
  <c r="C7" i="7"/>
  <c r="E7" i="7"/>
  <c r="B8" i="7"/>
  <c r="C8" i="7"/>
  <c r="E8" i="7"/>
  <c r="B9" i="7"/>
  <c r="C9" i="7"/>
  <c r="E9" i="7"/>
  <c r="B10" i="7"/>
  <c r="C10" i="7"/>
  <c r="E10" i="7"/>
  <c r="B11" i="7"/>
  <c r="C11" i="7"/>
  <c r="E11" i="7"/>
  <c r="B12" i="7"/>
  <c r="C12" i="7"/>
  <c r="E12" i="7"/>
  <c r="B13" i="7"/>
  <c r="C13" i="7"/>
  <c r="E13" i="7"/>
  <c r="B14" i="7"/>
  <c r="C14" i="7"/>
  <c r="E14" i="7"/>
  <c r="B15" i="7"/>
  <c r="C15" i="7"/>
  <c r="E15" i="7"/>
  <c r="B16" i="7"/>
  <c r="C16" i="7"/>
  <c r="E16" i="7"/>
  <c r="B17" i="7"/>
  <c r="C17" i="7"/>
  <c r="E17" i="7"/>
  <c r="B18" i="7"/>
  <c r="C18" i="7"/>
  <c r="E18" i="7"/>
  <c r="B19" i="7"/>
  <c r="C19" i="7"/>
  <c r="E19" i="7"/>
  <c r="B20" i="7"/>
  <c r="C20" i="7"/>
  <c r="E20" i="7"/>
  <c r="B21" i="7"/>
  <c r="C21" i="7"/>
  <c r="E21" i="7"/>
  <c r="B22" i="7"/>
  <c r="C22" i="7"/>
  <c r="E22" i="7"/>
  <c r="B3" i="7"/>
  <c r="C3" i="7"/>
  <c r="E3" i="7"/>
  <c r="F42" i="8"/>
  <c r="F70" i="8"/>
  <c r="F87" i="8"/>
  <c r="F73" i="8"/>
  <c r="AB17" i="7"/>
  <c r="N17" i="7"/>
  <c r="V17" i="7"/>
  <c r="X17" i="7"/>
  <c r="AC17" i="7"/>
  <c r="O17" i="7"/>
  <c r="W17" i="7"/>
  <c r="P17" i="7"/>
  <c r="Z17" i="7"/>
  <c r="L17" i="7"/>
  <c r="T17" i="7"/>
  <c r="AA17" i="7"/>
  <c r="K17" i="7"/>
  <c r="S17" i="7"/>
  <c r="M17" i="7"/>
  <c r="Q17" i="7"/>
  <c r="R17" i="7"/>
  <c r="U17" i="7"/>
  <c r="Y17" i="7"/>
  <c r="K14" i="7"/>
  <c r="S14" i="7"/>
  <c r="M14" i="7"/>
  <c r="L14" i="7"/>
  <c r="T14" i="7"/>
  <c r="U14" i="7"/>
  <c r="Z14" i="7"/>
  <c r="Q14" i="7"/>
  <c r="Y14" i="7"/>
  <c r="X14" i="7"/>
  <c r="N14" i="7"/>
  <c r="O14" i="7"/>
  <c r="AC14" i="7"/>
  <c r="AA14" i="7"/>
  <c r="AB14" i="7"/>
  <c r="P14" i="7"/>
  <c r="R14" i="7"/>
  <c r="V14" i="7"/>
  <c r="W14" i="7"/>
  <c r="AB9" i="7"/>
  <c r="N9" i="7"/>
  <c r="V9" i="7"/>
  <c r="P9" i="7"/>
  <c r="AC9" i="7"/>
  <c r="O9" i="7"/>
  <c r="W9" i="7"/>
  <c r="X9" i="7"/>
  <c r="Z9" i="7"/>
  <c r="L9" i="7"/>
  <c r="T9" i="7"/>
  <c r="AA9" i="7"/>
  <c r="M9" i="7"/>
  <c r="U9" i="7"/>
  <c r="R9" i="7"/>
  <c r="S9" i="7"/>
  <c r="Y9" i="7"/>
  <c r="K9" i="7"/>
  <c r="Q9" i="7"/>
  <c r="Q12" i="7"/>
  <c r="Y12" i="7"/>
  <c r="K12" i="7"/>
  <c r="R12" i="7"/>
  <c r="Z12" i="7"/>
  <c r="S12" i="7"/>
  <c r="O12" i="7"/>
  <c r="W12" i="7"/>
  <c r="P12" i="7"/>
  <c r="X12" i="7"/>
  <c r="AB12" i="7"/>
  <c r="N12" i="7"/>
  <c r="AC12" i="7"/>
  <c r="T12" i="7"/>
  <c r="U12" i="7"/>
  <c r="V12" i="7"/>
  <c r="L12" i="7"/>
  <c r="AA12" i="7"/>
  <c r="M12" i="7"/>
  <c r="AB21" i="7"/>
  <c r="R21" i="7"/>
  <c r="L21" i="7"/>
  <c r="AC21" i="7"/>
  <c r="K21" i="7"/>
  <c r="S21" i="7"/>
  <c r="T21" i="7"/>
  <c r="Z21" i="7"/>
  <c r="P21" i="7"/>
  <c r="X21" i="7"/>
  <c r="AA21" i="7"/>
  <c r="O21" i="7"/>
  <c r="W21" i="7"/>
  <c r="Q21" i="7"/>
  <c r="U21" i="7"/>
  <c r="V21" i="7"/>
  <c r="Y21" i="7"/>
  <c r="M21" i="7"/>
  <c r="N21" i="7"/>
  <c r="K6" i="7"/>
  <c r="S6" i="7"/>
  <c r="U6" i="7"/>
  <c r="L6" i="7"/>
  <c r="T6" i="7"/>
  <c r="M6" i="7"/>
  <c r="Z6" i="7"/>
  <c r="Q6" i="7"/>
  <c r="Y6" i="7"/>
  <c r="R6" i="7"/>
  <c r="AC6" i="7"/>
  <c r="V6" i="7"/>
  <c r="W6" i="7"/>
  <c r="X6" i="7"/>
  <c r="N6" i="7"/>
  <c r="AA6" i="7"/>
  <c r="O6" i="7"/>
  <c r="AB6" i="7"/>
  <c r="P6" i="7"/>
  <c r="AB15" i="7"/>
  <c r="L15" i="7"/>
  <c r="T15" i="7"/>
  <c r="N15" i="7"/>
  <c r="AC15" i="7"/>
  <c r="M15" i="7"/>
  <c r="U15" i="7"/>
  <c r="V15" i="7"/>
  <c r="Z15" i="7"/>
  <c r="R15" i="7"/>
  <c r="AA15" i="7"/>
  <c r="Y15" i="7"/>
  <c r="Q15" i="7"/>
  <c r="K15" i="7"/>
  <c r="O15" i="7"/>
  <c r="P15" i="7"/>
  <c r="S15" i="7"/>
  <c r="W15" i="7"/>
  <c r="X15" i="7"/>
  <c r="Q20" i="7"/>
  <c r="Y20" i="7"/>
  <c r="K20" i="7"/>
  <c r="R20" i="7"/>
  <c r="S20" i="7"/>
  <c r="Z20" i="7"/>
  <c r="O20" i="7"/>
  <c r="W20" i="7"/>
  <c r="N20" i="7"/>
  <c r="T20" i="7"/>
  <c r="AA20" i="7"/>
  <c r="U20" i="7"/>
  <c r="AB20" i="7"/>
  <c r="P20" i="7"/>
  <c r="V20" i="7"/>
  <c r="AC20" i="7"/>
  <c r="X20" i="7"/>
  <c r="L20" i="7"/>
  <c r="M20" i="7"/>
  <c r="O10" i="7"/>
  <c r="W10" i="7"/>
  <c r="Q10" i="7"/>
  <c r="P10" i="7"/>
  <c r="X10" i="7"/>
  <c r="Z10" i="7"/>
  <c r="Y10" i="7"/>
  <c r="M10" i="7"/>
  <c r="U10" i="7"/>
  <c r="N10" i="7"/>
  <c r="V10" i="7"/>
  <c r="AA10" i="7"/>
  <c r="L10" i="7"/>
  <c r="K10" i="7"/>
  <c r="AB10" i="7"/>
  <c r="R10" i="7"/>
  <c r="AC10" i="7"/>
  <c r="S10" i="7"/>
  <c r="T10" i="7"/>
  <c r="AB5" i="7"/>
  <c r="R5" i="7"/>
  <c r="T5" i="7"/>
  <c r="AC5" i="7"/>
  <c r="K5" i="7"/>
  <c r="S5" i="7"/>
  <c r="L5" i="7"/>
  <c r="Z5" i="7"/>
  <c r="P5" i="7"/>
  <c r="X5" i="7"/>
  <c r="AA5" i="7"/>
  <c r="Q5" i="7"/>
  <c r="Y5" i="7"/>
  <c r="N5" i="7"/>
  <c r="U5" i="7"/>
  <c r="V5" i="7"/>
  <c r="W5" i="7"/>
  <c r="O5" i="7"/>
  <c r="M5" i="7"/>
  <c r="K22" i="7"/>
  <c r="S22" i="7"/>
  <c r="Z22" i="7"/>
  <c r="M22" i="7"/>
  <c r="L22" i="7"/>
  <c r="T22" i="7"/>
  <c r="U22" i="7"/>
  <c r="Q22" i="7"/>
  <c r="Y22" i="7"/>
  <c r="AC22" i="7"/>
  <c r="P22" i="7"/>
  <c r="V22" i="7"/>
  <c r="W22" i="7"/>
  <c r="R22" i="7"/>
  <c r="X22" i="7"/>
  <c r="AA22" i="7"/>
  <c r="N22" i="7"/>
  <c r="AB22" i="7"/>
  <c r="O22" i="7"/>
  <c r="O18" i="7"/>
  <c r="W18" i="7"/>
  <c r="Z18" i="7"/>
  <c r="Y18" i="7"/>
  <c r="P18" i="7"/>
  <c r="X18" i="7"/>
  <c r="Q18" i="7"/>
  <c r="M18" i="7"/>
  <c r="U18" i="7"/>
  <c r="AA18" i="7"/>
  <c r="L18" i="7"/>
  <c r="AC18" i="7"/>
  <c r="R18" i="7"/>
  <c r="S18" i="7"/>
  <c r="AB18" i="7"/>
  <c r="N18" i="7"/>
  <c r="T18" i="7"/>
  <c r="V18" i="7"/>
  <c r="K18" i="7"/>
  <c r="Q4" i="7"/>
  <c r="Y4" i="7"/>
  <c r="S4" i="7"/>
  <c r="R4" i="7"/>
  <c r="K4" i="7"/>
  <c r="Z4" i="7"/>
  <c r="O4" i="7"/>
  <c r="W4" i="7"/>
  <c r="P4" i="7"/>
  <c r="X4" i="7"/>
  <c r="AA4" i="7"/>
  <c r="AB4" i="7"/>
  <c r="T4" i="7"/>
  <c r="L4" i="7"/>
  <c r="M4" i="7"/>
  <c r="N4" i="7"/>
  <c r="AC4" i="7"/>
  <c r="U4" i="7"/>
  <c r="V4" i="7"/>
  <c r="AB13" i="7"/>
  <c r="R13" i="7"/>
  <c r="L13" i="7"/>
  <c r="AC13" i="7"/>
  <c r="K13" i="7"/>
  <c r="S13" i="7"/>
  <c r="T13" i="7"/>
  <c r="Z13" i="7"/>
  <c r="P13" i="7"/>
  <c r="X13" i="7"/>
  <c r="AA13" i="7"/>
  <c r="Q13" i="7"/>
  <c r="Y13" i="7"/>
  <c r="V13" i="7"/>
  <c r="M13" i="7"/>
  <c r="W13" i="7"/>
  <c r="N13" i="7"/>
  <c r="O13" i="7"/>
  <c r="U13" i="7"/>
  <c r="AB7" i="7"/>
  <c r="L7" i="7"/>
  <c r="T7" i="7"/>
  <c r="AC7" i="7"/>
  <c r="M7" i="7"/>
  <c r="U7" i="7"/>
  <c r="N7" i="7"/>
  <c r="V7" i="7"/>
  <c r="Z7" i="7"/>
  <c r="R7" i="7"/>
  <c r="AA7" i="7"/>
  <c r="K7" i="7"/>
  <c r="S7" i="7"/>
  <c r="Y7" i="7"/>
  <c r="O7" i="7"/>
  <c r="P7" i="7"/>
  <c r="Q7" i="7"/>
  <c r="W7" i="7"/>
  <c r="X7" i="7"/>
  <c r="AB3" i="7"/>
  <c r="M3" i="7"/>
  <c r="U3" i="7"/>
  <c r="O3" i="7"/>
  <c r="AC3" i="7"/>
  <c r="N3" i="7"/>
  <c r="V3" i="7"/>
  <c r="W3" i="7"/>
  <c r="Z3" i="7"/>
  <c r="S3" i="7"/>
  <c r="AA3" i="7"/>
  <c r="R3" i="7"/>
  <c r="K3" i="7"/>
  <c r="T3" i="7"/>
  <c r="X3" i="7"/>
  <c r="Y3" i="7"/>
  <c r="L3" i="7"/>
  <c r="P3" i="7"/>
  <c r="Q3" i="7"/>
  <c r="AB19" i="7"/>
  <c r="P19" i="7"/>
  <c r="X19" i="7"/>
  <c r="AC19" i="7"/>
  <c r="Q19" i="7"/>
  <c r="Y19" i="7"/>
  <c r="R19" i="7"/>
  <c r="Z19" i="7"/>
  <c r="N19" i="7"/>
  <c r="V19" i="7"/>
  <c r="AA19" i="7"/>
  <c r="M19" i="7"/>
  <c r="U19" i="7"/>
  <c r="O19" i="7"/>
  <c r="S19" i="7"/>
  <c r="T19" i="7"/>
  <c r="W19" i="7"/>
  <c r="K19" i="7"/>
  <c r="L19" i="7"/>
  <c r="M8" i="7"/>
  <c r="U8" i="7"/>
  <c r="Z8" i="7"/>
  <c r="O8" i="7"/>
  <c r="N8" i="7"/>
  <c r="V8" i="7"/>
  <c r="W8" i="7"/>
  <c r="K8" i="7"/>
  <c r="S8" i="7"/>
  <c r="L8" i="7"/>
  <c r="T8" i="7"/>
  <c r="AB8" i="7"/>
  <c r="Q8" i="7"/>
  <c r="R8" i="7"/>
  <c r="X8" i="7"/>
  <c r="AA8" i="7"/>
  <c r="P8" i="7"/>
  <c r="AC8" i="7"/>
  <c r="Y8" i="7"/>
  <c r="AB11" i="7"/>
  <c r="P11" i="7"/>
  <c r="X11" i="7"/>
  <c r="AC11" i="7"/>
  <c r="Q11" i="7"/>
  <c r="Y11" i="7"/>
  <c r="R11" i="7"/>
  <c r="Z11" i="7"/>
  <c r="N11" i="7"/>
  <c r="V11" i="7"/>
  <c r="AA11" i="7"/>
  <c r="O11" i="7"/>
  <c r="W11" i="7"/>
  <c r="K11" i="7"/>
  <c r="M11" i="7"/>
  <c r="S11" i="7"/>
  <c r="T11" i="7"/>
  <c r="L11" i="7"/>
  <c r="U11" i="7"/>
  <c r="M16" i="7"/>
  <c r="U16" i="7"/>
  <c r="O16" i="7"/>
  <c r="N16" i="7"/>
  <c r="V16" i="7"/>
  <c r="Z16" i="7"/>
  <c r="W16" i="7"/>
  <c r="K16" i="7"/>
  <c r="S16" i="7"/>
  <c r="P16" i="7"/>
  <c r="Q16" i="7"/>
  <c r="L16" i="7"/>
  <c r="R16" i="7"/>
  <c r="AA16" i="7"/>
  <c r="T16" i="7"/>
  <c r="AB16" i="7"/>
  <c r="X16" i="7"/>
  <c r="AC16" i="7"/>
  <c r="Y16" i="7"/>
  <c r="H73" i="8"/>
  <c r="I73" i="8"/>
  <c r="H87" i="8"/>
  <c r="I87" i="8"/>
  <c r="H70" i="8"/>
  <c r="I70" i="8"/>
  <c r="H42" i="8"/>
  <c r="I42" i="8"/>
  <c r="I46" i="8"/>
  <c r="E2" i="6"/>
  <c r="E18" i="6"/>
  <c r="E3" i="6"/>
  <c r="I18" i="6"/>
  <c r="E4" i="6"/>
  <c r="I4" i="6"/>
  <c r="E5" i="6"/>
  <c r="E6" i="6"/>
  <c r="I6" i="6"/>
  <c r="E7" i="6"/>
  <c r="I7" i="6"/>
  <c r="E8" i="6"/>
  <c r="I8" i="6"/>
  <c r="E9" i="6"/>
  <c r="I9" i="6"/>
  <c r="E10" i="6"/>
  <c r="E11" i="6"/>
  <c r="I11" i="6"/>
  <c r="E12" i="6"/>
  <c r="I12" i="6"/>
  <c r="E13" i="6"/>
  <c r="E14" i="6"/>
  <c r="I14" i="6"/>
  <c r="E15" i="6"/>
  <c r="I15" i="6"/>
  <c r="E16" i="6"/>
  <c r="I16" i="6"/>
  <c r="E17" i="6"/>
  <c r="I17" i="6"/>
  <c r="I3" i="6"/>
  <c r="C4" i="6"/>
  <c r="D4" i="6"/>
  <c r="C8" i="6"/>
  <c r="D8" i="6"/>
  <c r="C16" i="6"/>
  <c r="D16" i="6"/>
  <c r="C17" i="6"/>
  <c r="D17" i="6"/>
  <c r="C6" i="6"/>
  <c r="D6" i="6"/>
  <c r="C7" i="6"/>
  <c r="D7" i="6"/>
  <c r="C9" i="6"/>
  <c r="D9" i="6"/>
  <c r="C10" i="6"/>
  <c r="D10" i="6"/>
  <c r="C11" i="6"/>
  <c r="D11" i="6"/>
  <c r="C12" i="6"/>
  <c r="D12" i="6"/>
  <c r="C13" i="6"/>
  <c r="D13" i="6"/>
  <c r="C14" i="6"/>
  <c r="D14" i="6"/>
  <c r="C15" i="6"/>
  <c r="D15" i="6"/>
  <c r="C18" i="6"/>
  <c r="D18" i="6"/>
  <c r="C5" i="6"/>
  <c r="D5" i="6"/>
  <c r="B5" i="6"/>
  <c r="B6" i="6"/>
  <c r="B7" i="6"/>
  <c r="B8" i="6"/>
  <c r="B9" i="6"/>
  <c r="B10" i="6"/>
  <c r="B11" i="6"/>
  <c r="B12" i="6"/>
  <c r="B13" i="6"/>
  <c r="B14" i="6"/>
  <c r="B15" i="6"/>
  <c r="B16" i="6"/>
  <c r="B17" i="6"/>
  <c r="B18" i="6"/>
  <c r="I13" i="6"/>
  <c r="I5" i="6"/>
  <c r="I10" i="6"/>
  <c r="K51" i="1"/>
  <c r="L51" i="1"/>
  <c r="C40" i="2"/>
  <c r="D40" i="2"/>
  <c r="F40" i="2"/>
  <c r="G40" i="2"/>
  <c r="H40" i="2"/>
  <c r="I40" i="2"/>
  <c r="M40" i="2"/>
  <c r="C39" i="2"/>
  <c r="D39" i="2"/>
  <c r="F39" i="2"/>
  <c r="G39" i="2"/>
  <c r="H39" i="2"/>
  <c r="I39" i="2"/>
  <c r="M39" i="2"/>
  <c r="C38" i="2"/>
  <c r="D38" i="2"/>
  <c r="F38" i="2"/>
  <c r="G38" i="2"/>
  <c r="H38" i="2"/>
  <c r="I38" i="2"/>
  <c r="M38" i="2"/>
  <c r="C37" i="2"/>
  <c r="D37" i="2"/>
  <c r="F37" i="2"/>
  <c r="G37" i="2"/>
  <c r="H37" i="2"/>
  <c r="I37" i="2"/>
  <c r="M37" i="2"/>
  <c r="C36" i="2"/>
  <c r="D36" i="2"/>
  <c r="F36" i="2"/>
  <c r="G36" i="2"/>
  <c r="H36" i="2"/>
  <c r="I36" i="2"/>
  <c r="M36" i="2"/>
  <c r="C35" i="2"/>
  <c r="D35" i="2"/>
  <c r="F35" i="2"/>
  <c r="G35" i="2"/>
  <c r="H35" i="2"/>
  <c r="I35" i="2"/>
  <c r="M35" i="2"/>
  <c r="C34" i="2"/>
  <c r="D34" i="2"/>
  <c r="F34" i="2"/>
  <c r="G34" i="2"/>
  <c r="H34" i="2"/>
  <c r="I34" i="2"/>
  <c r="M34" i="2"/>
  <c r="C33" i="2"/>
  <c r="D33" i="2"/>
  <c r="F33" i="2"/>
  <c r="G33" i="2"/>
  <c r="H33" i="2"/>
  <c r="I33" i="2"/>
  <c r="M33" i="2"/>
  <c r="C32" i="2"/>
  <c r="D32" i="2"/>
  <c r="F32" i="2"/>
  <c r="G32" i="2"/>
  <c r="H32" i="2"/>
  <c r="I32" i="2"/>
  <c r="M3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41" i="2"/>
  <c r="M42" i="2"/>
  <c r="M43" i="2"/>
  <c r="M44" i="2"/>
  <c r="M45" i="2"/>
  <c r="M46" i="2"/>
  <c r="M47" i="2"/>
  <c r="M48" i="2"/>
  <c r="M2" i="2"/>
  <c r="H57" i="1"/>
  <c r="G58" i="1"/>
  <c r="H58" i="1"/>
  <c r="AB58" i="1"/>
  <c r="AC58" i="1"/>
  <c r="AD58" i="1"/>
  <c r="AE58" i="1"/>
  <c r="G59" i="1"/>
  <c r="H59" i="1"/>
  <c r="AB59" i="1"/>
  <c r="G60" i="1"/>
  <c r="H60" i="1"/>
  <c r="AB60" i="1"/>
  <c r="AC60" i="1"/>
  <c r="AD60" i="1"/>
  <c r="AE60" i="1"/>
  <c r="G61" i="1"/>
  <c r="H61" i="1"/>
  <c r="AB61" i="1"/>
  <c r="AC61" i="1"/>
  <c r="AD61" i="1"/>
  <c r="AE61" i="1"/>
  <c r="G62" i="1"/>
  <c r="H62" i="1"/>
  <c r="AB62" i="1"/>
  <c r="AC62" i="1"/>
  <c r="G63" i="1"/>
  <c r="H63" i="1"/>
  <c r="AB63" i="1"/>
  <c r="AC63" i="1"/>
  <c r="AD63" i="1"/>
  <c r="AE63" i="1"/>
  <c r="G64" i="1"/>
  <c r="H64" i="1"/>
  <c r="AB64" i="1"/>
  <c r="AC64" i="1"/>
  <c r="AD64" i="1"/>
  <c r="AE64" i="1"/>
  <c r="G65" i="1"/>
  <c r="H65" i="1"/>
  <c r="AB65" i="1"/>
  <c r="AC65" i="1"/>
  <c r="AD65" i="1"/>
  <c r="AE65" i="1"/>
  <c r="G66" i="1"/>
  <c r="H66" i="1"/>
  <c r="AB66" i="1"/>
  <c r="AC66" i="1"/>
  <c r="AD66" i="1"/>
  <c r="AE66" i="1"/>
  <c r="G67" i="1"/>
  <c r="H67" i="1"/>
  <c r="AB67" i="1"/>
  <c r="AC67" i="1"/>
  <c r="AD67" i="1"/>
  <c r="AE67" i="1"/>
  <c r="G68" i="1"/>
  <c r="H68" i="1"/>
  <c r="AB68" i="1"/>
  <c r="AC68" i="1"/>
  <c r="AD68" i="1"/>
  <c r="AE68" i="1"/>
  <c r="G69" i="1"/>
  <c r="H69" i="1"/>
  <c r="AB69" i="1"/>
  <c r="AC69" i="1"/>
  <c r="AD69" i="1"/>
  <c r="AE69" i="1"/>
  <c r="G70" i="1"/>
  <c r="H70" i="1"/>
  <c r="AB70" i="1"/>
  <c r="AC70" i="1"/>
  <c r="AD70" i="1"/>
  <c r="AE70" i="1"/>
  <c r="G71" i="1"/>
  <c r="H71" i="1"/>
  <c r="AB71" i="1"/>
  <c r="AC71" i="1"/>
  <c r="AD71" i="1"/>
  <c r="AE71" i="1"/>
  <c r="G72" i="1"/>
  <c r="H72" i="1"/>
  <c r="AB72" i="1"/>
  <c r="AC72" i="1"/>
  <c r="AD72" i="1"/>
  <c r="AE72" i="1"/>
  <c r="G73" i="1"/>
  <c r="H73" i="1"/>
  <c r="AB73" i="1"/>
  <c r="AC73" i="1"/>
  <c r="AD73" i="1"/>
  <c r="AE73" i="1"/>
  <c r="G74" i="1"/>
  <c r="H74" i="1"/>
  <c r="AB74" i="1"/>
  <c r="AC74" i="1"/>
  <c r="AD74" i="1"/>
  <c r="AE74" i="1"/>
  <c r="G75" i="1"/>
  <c r="H75" i="1"/>
  <c r="AB75" i="1"/>
  <c r="AC75" i="1"/>
  <c r="AD75" i="1"/>
  <c r="AE75" i="1"/>
  <c r="G76" i="1"/>
  <c r="H76" i="1"/>
  <c r="AB76" i="1"/>
  <c r="AC76" i="1"/>
  <c r="AD76" i="1"/>
  <c r="AE76" i="1"/>
  <c r="G77" i="1"/>
  <c r="H77" i="1"/>
  <c r="AB77" i="1"/>
  <c r="AC77" i="1"/>
  <c r="AD77" i="1"/>
  <c r="AE77" i="1"/>
  <c r="G78" i="1"/>
  <c r="H78" i="1"/>
  <c r="AB78" i="1"/>
  <c r="AC78" i="1"/>
  <c r="AD78" i="1"/>
  <c r="AE78" i="1"/>
  <c r="G79" i="1"/>
  <c r="H79" i="1"/>
  <c r="AB79" i="1"/>
  <c r="AC79" i="1"/>
  <c r="AD79" i="1"/>
  <c r="AE79" i="1"/>
  <c r="G80" i="1"/>
  <c r="H80" i="1"/>
  <c r="AB80" i="1"/>
  <c r="AC80" i="1"/>
  <c r="AD80" i="1"/>
  <c r="AE80" i="1"/>
  <c r="G81" i="1"/>
  <c r="H81" i="1"/>
  <c r="AB81" i="1"/>
  <c r="AC81" i="1"/>
  <c r="AD81" i="1"/>
  <c r="AE81" i="1"/>
  <c r="G82" i="1"/>
  <c r="H82" i="1"/>
  <c r="AB82" i="1"/>
  <c r="AC82" i="1"/>
  <c r="AD82" i="1"/>
  <c r="AE82" i="1"/>
  <c r="G83" i="1"/>
  <c r="H83" i="1"/>
  <c r="AB83" i="1"/>
  <c r="AC83" i="1"/>
  <c r="AD83" i="1"/>
  <c r="AE83" i="1"/>
  <c r="G84" i="1"/>
  <c r="H84" i="1"/>
  <c r="AB84" i="1"/>
  <c r="AC84" i="1"/>
  <c r="AD84" i="1"/>
  <c r="AE84" i="1"/>
  <c r="G85" i="1"/>
  <c r="H85" i="1"/>
  <c r="AB85" i="1"/>
  <c r="AC85" i="1"/>
  <c r="AD85" i="1"/>
  <c r="AE85" i="1"/>
  <c r="G86" i="1"/>
  <c r="H86" i="1"/>
  <c r="AB86" i="1"/>
  <c r="AC86" i="1"/>
  <c r="AD86" i="1"/>
  <c r="AE86" i="1"/>
  <c r="AC53" i="1"/>
  <c r="AC54" i="1"/>
  <c r="AD62" i="1"/>
  <c r="AB51" i="1"/>
  <c r="AB52" i="1"/>
  <c r="AC59" i="1"/>
  <c r="M57" i="1"/>
  <c r="L57" i="1"/>
  <c r="K57" i="1"/>
  <c r="J57" i="1"/>
  <c r="AB57" i="1"/>
  <c r="AC57" i="1"/>
  <c r="AD57" i="1"/>
  <c r="AE57" i="1"/>
  <c r="P57" i="1"/>
  <c r="P84" i="1"/>
  <c r="M84" i="1"/>
  <c r="L84" i="1"/>
  <c r="K84" i="1"/>
  <c r="J84" i="1"/>
  <c r="M76" i="1"/>
  <c r="L76" i="1"/>
  <c r="K76" i="1"/>
  <c r="J76" i="1"/>
  <c r="P76" i="1"/>
  <c r="M68" i="1"/>
  <c r="L68" i="1"/>
  <c r="K68" i="1"/>
  <c r="J68" i="1"/>
  <c r="P68" i="1"/>
  <c r="M60" i="1"/>
  <c r="L60" i="1"/>
  <c r="K60" i="1"/>
  <c r="J60" i="1"/>
  <c r="P60" i="1"/>
  <c r="P83" i="1"/>
  <c r="M83" i="1"/>
  <c r="L83" i="1"/>
  <c r="K83" i="1"/>
  <c r="J83" i="1"/>
  <c r="M75" i="1"/>
  <c r="L75" i="1"/>
  <c r="K75" i="1"/>
  <c r="J75" i="1"/>
  <c r="P75" i="1"/>
  <c r="P67" i="1"/>
  <c r="M67" i="1"/>
  <c r="L67" i="1"/>
  <c r="K67" i="1"/>
  <c r="J67" i="1"/>
  <c r="M59" i="1"/>
  <c r="L59" i="1"/>
  <c r="K59" i="1"/>
  <c r="J59" i="1"/>
  <c r="P59" i="1"/>
  <c r="P82" i="1"/>
  <c r="M82" i="1"/>
  <c r="L82" i="1"/>
  <c r="K82" i="1"/>
  <c r="J82" i="1"/>
  <c r="M74" i="1"/>
  <c r="L74" i="1"/>
  <c r="K74" i="1"/>
  <c r="J74" i="1"/>
  <c r="P74" i="1"/>
  <c r="M66" i="1"/>
  <c r="L66" i="1"/>
  <c r="K66" i="1"/>
  <c r="J66" i="1"/>
  <c r="P66" i="1"/>
  <c r="M58" i="1"/>
  <c r="L58" i="1"/>
  <c r="K58" i="1"/>
  <c r="J58" i="1"/>
  <c r="P58" i="1"/>
  <c r="M81" i="1"/>
  <c r="L81" i="1"/>
  <c r="K81" i="1"/>
  <c r="J81" i="1"/>
  <c r="P81" i="1"/>
  <c r="P73" i="1"/>
  <c r="M73" i="1"/>
  <c r="L73" i="1"/>
  <c r="K73" i="1"/>
  <c r="J73" i="1"/>
  <c r="M65" i="1"/>
  <c r="L65" i="1"/>
  <c r="K65" i="1"/>
  <c r="J65" i="1"/>
  <c r="P65" i="1"/>
  <c r="M80" i="1"/>
  <c r="L80" i="1"/>
  <c r="K80" i="1"/>
  <c r="J80" i="1"/>
  <c r="P80" i="1"/>
  <c r="M72" i="1"/>
  <c r="L72" i="1"/>
  <c r="K72" i="1"/>
  <c r="J72" i="1"/>
  <c r="P72" i="1"/>
  <c r="M64" i="1"/>
  <c r="L64" i="1"/>
  <c r="K64" i="1"/>
  <c r="J64" i="1"/>
  <c r="P64" i="1"/>
  <c r="M79" i="1"/>
  <c r="L79" i="1"/>
  <c r="K79" i="1"/>
  <c r="J79" i="1"/>
  <c r="P79" i="1"/>
  <c r="M71" i="1"/>
  <c r="L71" i="1"/>
  <c r="K71" i="1"/>
  <c r="J71" i="1"/>
  <c r="P71" i="1"/>
  <c r="M63" i="1"/>
  <c r="L63" i="1"/>
  <c r="K63" i="1"/>
  <c r="J63" i="1"/>
  <c r="P63" i="1"/>
  <c r="P86" i="1"/>
  <c r="M86" i="1"/>
  <c r="L86" i="1"/>
  <c r="K86" i="1"/>
  <c r="J86" i="1"/>
  <c r="M78" i="1"/>
  <c r="L78" i="1"/>
  <c r="K78" i="1"/>
  <c r="J78" i="1"/>
  <c r="P78" i="1"/>
  <c r="P70" i="1"/>
  <c r="M70" i="1"/>
  <c r="L70" i="1"/>
  <c r="K70" i="1"/>
  <c r="J70" i="1"/>
  <c r="P62" i="1"/>
  <c r="M62" i="1"/>
  <c r="L62" i="1"/>
  <c r="K62" i="1"/>
  <c r="J62" i="1"/>
  <c r="P85" i="1"/>
  <c r="M85" i="1"/>
  <c r="L85" i="1"/>
  <c r="K85" i="1"/>
  <c r="J85" i="1"/>
  <c r="M77" i="1"/>
  <c r="L77" i="1"/>
  <c r="K77" i="1"/>
  <c r="J77" i="1"/>
  <c r="P77" i="1"/>
  <c r="P69" i="1"/>
  <c r="M69" i="1"/>
  <c r="L69" i="1"/>
  <c r="K69" i="1"/>
  <c r="J69" i="1"/>
  <c r="P61" i="1"/>
  <c r="M61" i="1"/>
  <c r="L61" i="1"/>
  <c r="K61" i="1"/>
  <c r="J61" i="1"/>
  <c r="AD59" i="1"/>
  <c r="AE59" i="1"/>
  <c r="AC51" i="1"/>
  <c r="AC52" i="1"/>
  <c r="AD53" i="1"/>
  <c r="AD54" i="1"/>
  <c r="AE62" i="1"/>
  <c r="Q85" i="1"/>
  <c r="R85" i="1"/>
  <c r="U85" i="1"/>
  <c r="S85" i="1"/>
  <c r="Q86" i="1"/>
  <c r="S86" i="1"/>
  <c r="Q73" i="1"/>
  <c r="S73" i="1"/>
  <c r="Q63" i="1"/>
  <c r="S63" i="1"/>
  <c r="Q72" i="1"/>
  <c r="R72" i="1"/>
  <c r="U72" i="1"/>
  <c r="S72" i="1"/>
  <c r="Q81" i="1"/>
  <c r="R81" i="1"/>
  <c r="S81" i="1"/>
  <c r="Q61" i="1"/>
  <c r="S61" i="1"/>
  <c r="Q62" i="1"/>
  <c r="S62" i="1"/>
  <c r="Q82" i="1"/>
  <c r="S82" i="1"/>
  <c r="Q83" i="1"/>
  <c r="R83" i="1"/>
  <c r="W83" i="1"/>
  <c r="S83" i="1"/>
  <c r="Q84" i="1"/>
  <c r="S84" i="1"/>
  <c r="Q71" i="1"/>
  <c r="S71" i="1"/>
  <c r="Q80" i="1"/>
  <c r="S80" i="1"/>
  <c r="Q58" i="1"/>
  <c r="S58" i="1"/>
  <c r="Q59" i="1"/>
  <c r="S59" i="1"/>
  <c r="Q60" i="1"/>
  <c r="R60" i="1"/>
  <c r="W60" i="1"/>
  <c r="S60" i="1"/>
  <c r="Q57" i="1"/>
  <c r="Y57" i="1"/>
  <c r="Z57" i="1"/>
  <c r="S57" i="1"/>
  <c r="Q69" i="1"/>
  <c r="S69" i="1"/>
  <c r="Q70" i="1"/>
  <c r="S70" i="1"/>
  <c r="Q77" i="1"/>
  <c r="S77" i="1"/>
  <c r="Q78" i="1"/>
  <c r="R78" i="1"/>
  <c r="U78" i="1"/>
  <c r="S78" i="1"/>
  <c r="Q79" i="1"/>
  <c r="S79" i="1"/>
  <c r="Q65" i="1"/>
  <c r="S65" i="1"/>
  <c r="Q66" i="1"/>
  <c r="S66" i="1"/>
  <c r="Q68" i="1"/>
  <c r="S68" i="1"/>
  <c r="Q67" i="1"/>
  <c r="S67" i="1"/>
  <c r="Q64" i="1"/>
  <c r="S64" i="1"/>
  <c r="Q74" i="1"/>
  <c r="S74" i="1"/>
  <c r="Q75" i="1"/>
  <c r="S75" i="1"/>
  <c r="Q76" i="1"/>
  <c r="Y76" i="1"/>
  <c r="Z76" i="1"/>
  <c r="S76" i="1"/>
  <c r="Y77" i="1"/>
  <c r="Z77" i="1"/>
  <c r="R62" i="1"/>
  <c r="V62" i="1"/>
  <c r="Y66" i="1"/>
  <c r="Z66" i="1"/>
  <c r="R80" i="1"/>
  <c r="U80" i="1"/>
  <c r="Y63" i="1"/>
  <c r="Z63" i="1"/>
  <c r="R74" i="1"/>
  <c r="W74" i="1"/>
  <c r="X63" i="1"/>
  <c r="Y64" i="1"/>
  <c r="T64" i="1"/>
  <c r="Y65" i="1"/>
  <c r="T65" i="1"/>
  <c r="R70" i="1"/>
  <c r="T70" i="1"/>
  <c r="Y59" i="1"/>
  <c r="T59" i="1"/>
  <c r="Y84" i="1"/>
  <c r="T84" i="1"/>
  <c r="Y61" i="1"/>
  <c r="T61" i="1"/>
  <c r="Y73" i="1"/>
  <c r="T73" i="1"/>
  <c r="R59" i="1"/>
  <c r="V59" i="1"/>
  <c r="R73" i="1"/>
  <c r="U73" i="1"/>
  <c r="R76" i="1"/>
  <c r="T76" i="1"/>
  <c r="Y67" i="1"/>
  <c r="T67" i="1"/>
  <c r="Y79" i="1"/>
  <c r="T79" i="1"/>
  <c r="R69" i="1"/>
  <c r="T69" i="1"/>
  <c r="Y58" i="1"/>
  <c r="T58" i="1"/>
  <c r="Y83" i="1"/>
  <c r="T83" i="1"/>
  <c r="Y81" i="1"/>
  <c r="T81" i="1"/>
  <c r="R86" i="1"/>
  <c r="T86" i="1"/>
  <c r="Y86" i="1"/>
  <c r="R61" i="1"/>
  <c r="V61" i="1"/>
  <c r="R67" i="1"/>
  <c r="V67" i="1"/>
  <c r="R58" i="1"/>
  <c r="U58" i="1"/>
  <c r="Y75" i="1"/>
  <c r="T75" i="1"/>
  <c r="R68" i="1"/>
  <c r="T68" i="1"/>
  <c r="Y78" i="1"/>
  <c r="T78" i="1"/>
  <c r="T57" i="1"/>
  <c r="R57" i="1"/>
  <c r="Y80" i="1"/>
  <c r="T80" i="1"/>
  <c r="Y82" i="1"/>
  <c r="T82" i="1"/>
  <c r="R82" i="1"/>
  <c r="Y72" i="1"/>
  <c r="T72" i="1"/>
  <c r="Y85" i="1"/>
  <c r="T85" i="1"/>
  <c r="R64" i="1"/>
  <c r="W64" i="1"/>
  <c r="R79" i="1"/>
  <c r="Y70" i="1"/>
  <c r="Z70" i="1"/>
  <c r="Y69" i="1"/>
  <c r="Z69" i="1"/>
  <c r="Y74" i="1"/>
  <c r="T74" i="1"/>
  <c r="R66" i="1"/>
  <c r="T66" i="1"/>
  <c r="R77" i="1"/>
  <c r="T77" i="1"/>
  <c r="Y60" i="1"/>
  <c r="T60" i="1"/>
  <c r="R71" i="1"/>
  <c r="T71" i="1"/>
  <c r="Y62" i="1"/>
  <c r="T62" i="1"/>
  <c r="R63" i="1"/>
  <c r="T63" i="1"/>
  <c r="Y71" i="1"/>
  <c r="Z71" i="1"/>
  <c r="R75" i="1"/>
  <c r="U75" i="1"/>
  <c r="R65" i="1"/>
  <c r="V65" i="1"/>
  <c r="Y68" i="1"/>
  <c r="Z68" i="1"/>
  <c r="R84" i="1"/>
  <c r="V84" i="1"/>
  <c r="X57" i="1"/>
  <c r="U64" i="1"/>
  <c r="V64" i="1"/>
  <c r="X66" i="1"/>
  <c r="V85" i="1"/>
  <c r="W85" i="1"/>
  <c r="V80" i="1"/>
  <c r="W78" i="1"/>
  <c r="V60" i="1"/>
  <c r="V78" i="1"/>
  <c r="U60" i="1"/>
  <c r="V72" i="1"/>
  <c r="W62" i="1"/>
  <c r="X77" i="1"/>
  <c r="U81" i="1"/>
  <c r="W81" i="1"/>
  <c r="V83" i="1"/>
  <c r="U83" i="1"/>
  <c r="V81" i="1"/>
  <c r="U62" i="1"/>
  <c r="W80" i="1"/>
  <c r="V74" i="1"/>
  <c r="U74" i="1"/>
  <c r="X76" i="1"/>
  <c r="W72" i="1"/>
  <c r="F16" i="2"/>
  <c r="G16" i="2"/>
  <c r="H16" i="2"/>
  <c r="I16" i="2"/>
  <c r="C48" i="2"/>
  <c r="D48" i="2"/>
  <c r="F48" i="2"/>
  <c r="G48" i="2"/>
  <c r="H48" i="2"/>
  <c r="I48" i="2"/>
  <c r="C47" i="2"/>
  <c r="D47" i="2"/>
  <c r="F47" i="2"/>
  <c r="G47" i="2"/>
  <c r="H47" i="2"/>
  <c r="I47" i="2"/>
  <c r="C46" i="2"/>
  <c r="D46" i="2"/>
  <c r="F46" i="2"/>
  <c r="G46" i="2"/>
  <c r="H46" i="2"/>
  <c r="I46" i="2"/>
  <c r="C45" i="2"/>
  <c r="D45" i="2"/>
  <c r="F45" i="2"/>
  <c r="G45" i="2"/>
  <c r="H45" i="2"/>
  <c r="I45" i="2"/>
  <c r="C44" i="2"/>
  <c r="D44" i="2"/>
  <c r="F44" i="2"/>
  <c r="G44" i="2"/>
  <c r="H44" i="2"/>
  <c r="I44" i="2"/>
  <c r="C43" i="2"/>
  <c r="D43" i="2"/>
  <c r="F43" i="2"/>
  <c r="G43" i="2"/>
  <c r="H43" i="2"/>
  <c r="I43" i="2"/>
  <c r="C42" i="2"/>
  <c r="D42" i="2"/>
  <c r="F42" i="2"/>
  <c r="G42" i="2"/>
  <c r="H42" i="2"/>
  <c r="I42" i="2"/>
  <c r="C41" i="2"/>
  <c r="D41" i="2"/>
  <c r="F41" i="2"/>
  <c r="G41" i="2"/>
  <c r="H41" i="2"/>
  <c r="I41" i="2"/>
  <c r="F3" i="2"/>
  <c r="G3" i="2"/>
  <c r="H3" i="2"/>
  <c r="I3" i="2"/>
  <c r="F4" i="2"/>
  <c r="G4" i="2"/>
  <c r="H4" i="2"/>
  <c r="I4" i="2"/>
  <c r="F5" i="2"/>
  <c r="G5" i="2"/>
  <c r="H5" i="2"/>
  <c r="I5" i="2"/>
  <c r="F6" i="2"/>
  <c r="G6" i="2"/>
  <c r="H6" i="2"/>
  <c r="I6" i="2"/>
  <c r="F7" i="2"/>
  <c r="G7" i="2"/>
  <c r="H7" i="2"/>
  <c r="I7" i="2"/>
  <c r="F8" i="2"/>
  <c r="G8" i="2"/>
  <c r="H8" i="2"/>
  <c r="I8" i="2"/>
  <c r="F9" i="2"/>
  <c r="G9" i="2"/>
  <c r="H9" i="2"/>
  <c r="I9" i="2"/>
  <c r="F10" i="2"/>
  <c r="G10" i="2"/>
  <c r="H10" i="2"/>
  <c r="I10" i="2"/>
  <c r="F11" i="2"/>
  <c r="G11" i="2"/>
  <c r="H11" i="2"/>
  <c r="I11" i="2"/>
  <c r="F12" i="2"/>
  <c r="G12" i="2"/>
  <c r="H12" i="2"/>
  <c r="I12" i="2"/>
  <c r="F13" i="2"/>
  <c r="G13" i="2"/>
  <c r="H13" i="2"/>
  <c r="I13" i="2"/>
  <c r="F14" i="2"/>
  <c r="G14" i="2"/>
  <c r="H14" i="2"/>
  <c r="I14" i="2"/>
  <c r="F15" i="2"/>
  <c r="G15" i="2"/>
  <c r="H15" i="2"/>
  <c r="I15" i="2"/>
  <c r="F17" i="2"/>
  <c r="G17" i="2"/>
  <c r="H17" i="2"/>
  <c r="I17" i="2"/>
  <c r="F18" i="2"/>
  <c r="G18" i="2"/>
  <c r="H18" i="2"/>
  <c r="I18" i="2"/>
  <c r="F19" i="2"/>
  <c r="G19" i="2"/>
  <c r="H19" i="2"/>
  <c r="I19" i="2"/>
  <c r="F20" i="2"/>
  <c r="G20" i="2"/>
  <c r="H20" i="2"/>
  <c r="I20" i="2"/>
  <c r="F21" i="2"/>
  <c r="G21" i="2"/>
  <c r="H21" i="2"/>
  <c r="I21" i="2"/>
  <c r="F22" i="2"/>
  <c r="G22" i="2"/>
  <c r="H22" i="2"/>
  <c r="I22" i="2"/>
  <c r="F23" i="2"/>
  <c r="G23" i="2"/>
  <c r="H23" i="2"/>
  <c r="I23" i="2"/>
  <c r="F24" i="2"/>
  <c r="G24" i="2"/>
  <c r="H24" i="2"/>
  <c r="I24" i="2"/>
  <c r="F25" i="2"/>
  <c r="G25" i="2"/>
  <c r="H25" i="2"/>
  <c r="I25" i="2"/>
  <c r="F26" i="2"/>
  <c r="G26" i="2"/>
  <c r="H26" i="2"/>
  <c r="I26" i="2"/>
  <c r="F27" i="2"/>
  <c r="G27" i="2"/>
  <c r="H27" i="2"/>
  <c r="I27" i="2"/>
  <c r="F28" i="2"/>
  <c r="G28" i="2"/>
  <c r="H28" i="2"/>
  <c r="I28" i="2"/>
  <c r="F29" i="2"/>
  <c r="G29" i="2"/>
  <c r="H29" i="2"/>
  <c r="I29" i="2"/>
  <c r="F30" i="2"/>
  <c r="G30" i="2"/>
  <c r="H30" i="2"/>
  <c r="I30" i="2"/>
  <c r="F31" i="2"/>
  <c r="G31" i="2"/>
  <c r="H31" i="2"/>
  <c r="I31" i="2"/>
  <c r="F2" i="2"/>
  <c r="G2" i="2"/>
  <c r="H2" i="2"/>
  <c r="I2" i="2"/>
  <c r="W59" i="1"/>
  <c r="X71" i="1"/>
  <c r="V75" i="1"/>
  <c r="U59" i="1"/>
  <c r="W65" i="1"/>
  <c r="W84" i="1"/>
  <c r="X69" i="1"/>
  <c r="X68" i="1"/>
  <c r="V73" i="1"/>
  <c r="X70" i="1"/>
  <c r="U65" i="1"/>
  <c r="Z80" i="1"/>
  <c r="X80" i="1"/>
  <c r="Z75" i="1"/>
  <c r="X75" i="1"/>
  <c r="Z81" i="1"/>
  <c r="X81" i="1"/>
  <c r="Z79" i="1"/>
  <c r="X79" i="1"/>
  <c r="Z73" i="1"/>
  <c r="X73" i="1"/>
  <c r="U70" i="1"/>
  <c r="W70" i="1"/>
  <c r="V70" i="1"/>
  <c r="Z62" i="1"/>
  <c r="X62" i="1"/>
  <c r="W66" i="1"/>
  <c r="U66" i="1"/>
  <c r="V66" i="1"/>
  <c r="Z85" i="1"/>
  <c r="X85" i="1"/>
  <c r="U57" i="1"/>
  <c r="W57" i="1"/>
  <c r="V57" i="1"/>
  <c r="Z83" i="1"/>
  <c r="X83" i="1"/>
  <c r="Z67" i="1"/>
  <c r="X67" i="1"/>
  <c r="Z61" i="1"/>
  <c r="X61" i="1"/>
  <c r="X65" i="1"/>
  <c r="Z65" i="1"/>
  <c r="U67" i="1"/>
  <c r="W71" i="1"/>
  <c r="U71" i="1"/>
  <c r="V71" i="1"/>
  <c r="Z74" i="1"/>
  <c r="X74" i="1"/>
  <c r="Z72" i="1"/>
  <c r="X72" i="1"/>
  <c r="W58" i="1"/>
  <c r="U82" i="1"/>
  <c r="V82" i="1"/>
  <c r="W82" i="1"/>
  <c r="Z78" i="1"/>
  <c r="X78" i="1"/>
  <c r="Z86" i="1"/>
  <c r="X86" i="1"/>
  <c r="Z58" i="1"/>
  <c r="X58" i="1"/>
  <c r="U76" i="1"/>
  <c r="V76" i="1"/>
  <c r="W76" i="1"/>
  <c r="Z84" i="1"/>
  <c r="X84" i="1"/>
  <c r="Z64" i="1"/>
  <c r="X64" i="1"/>
  <c r="W61" i="1"/>
  <c r="W67" i="1"/>
  <c r="Z60" i="1"/>
  <c r="X60" i="1"/>
  <c r="U61" i="1"/>
  <c r="V58" i="1"/>
  <c r="W79" i="1"/>
  <c r="U79" i="1"/>
  <c r="V79" i="1"/>
  <c r="Z82" i="1"/>
  <c r="X82" i="1"/>
  <c r="U68" i="1"/>
  <c r="V68" i="1"/>
  <c r="W68" i="1"/>
  <c r="U86" i="1"/>
  <c r="V86" i="1"/>
  <c r="W86" i="1"/>
  <c r="V69" i="1"/>
  <c r="W69" i="1"/>
  <c r="U69" i="1"/>
  <c r="Z59" i="1"/>
  <c r="X59" i="1"/>
  <c r="W73" i="1"/>
  <c r="W75" i="1"/>
  <c r="U84" i="1"/>
  <c r="W63" i="1"/>
  <c r="V63" i="1"/>
  <c r="U63" i="1"/>
  <c r="U77" i="1"/>
  <c r="V77" i="1"/>
  <c r="W77" i="1"/>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B52" i="1"/>
  <c r="C52" i="1"/>
  <c r="D52" i="1"/>
  <c r="E52" i="1"/>
  <c r="F5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2" i="1"/>
</calcChain>
</file>

<file path=xl/comments1.xml><?xml version="1.0" encoding="utf-8"?>
<comments xmlns="http://schemas.openxmlformats.org/spreadsheetml/2006/main">
  <authors>
    <author>grodriguez</author>
  </authors>
  <commentList>
    <comment ref="A24" authorId="0">
      <text>
        <r>
          <rPr>
            <b/>
            <sz val="9"/>
            <color indexed="81"/>
            <rFont val="Tahoma"/>
            <family val="2"/>
          </rPr>
          <t>Select your armor</t>
        </r>
      </text>
    </comment>
  </commentList>
</comments>
</file>

<file path=xl/sharedStrings.xml><?xml version="1.0" encoding="utf-8"?>
<sst xmlns="http://schemas.openxmlformats.org/spreadsheetml/2006/main" count="3793" uniqueCount="1372">
  <si>
    <t>Level</t>
  </si>
  <si>
    <t>PowerLift</t>
  </si>
  <si>
    <t>Light</t>
  </si>
  <si>
    <t>Medium</t>
  </si>
  <si>
    <t>Heavy</t>
  </si>
  <si>
    <t>Weapon</t>
  </si>
  <si>
    <t>Young human</t>
  </si>
  <si>
    <t>Olimpic level</t>
  </si>
  <si>
    <t>Maximum human limit</t>
  </si>
  <si>
    <t>Starting HP</t>
  </si>
  <si>
    <t>Action points</t>
  </si>
  <si>
    <t>Day</t>
  </si>
  <si>
    <t>hr</t>
  </si>
  <si>
    <t>Min</t>
  </si>
  <si>
    <t>Week</t>
  </si>
  <si>
    <t>m/min</t>
  </si>
  <si>
    <t>m/h</t>
  </si>
  <si>
    <t>jog</t>
  </si>
  <si>
    <t>run</t>
  </si>
  <si>
    <t>sprint</t>
  </si>
  <si>
    <t>Weak human</t>
  </si>
  <si>
    <t>Normal</t>
  </si>
  <si>
    <t>Strong</t>
  </si>
  <si>
    <t>m/s</t>
  </si>
  <si>
    <t>m/10s</t>
  </si>
  <si>
    <t>Projectile</t>
  </si>
  <si>
    <t>Speed</t>
  </si>
  <si>
    <t>Specific kinetic energy (J/kg)</t>
  </si>
  <si>
    <t>(m/s)</t>
  </si>
  <si>
    <t>(km/h)</t>
  </si>
  <si>
    <t>(ft/s)</t>
  </si>
  <si>
    <t>(mph)</t>
  </si>
  <si>
    <t>Object falling 1 m</t>
  </si>
  <si>
    <t>Object falling 10 m</t>
  </si>
  <si>
    <t>Thrown club (expert thrower)</t>
  </si>
  <si>
    <t>Object falling 100 m</t>
  </si>
  <si>
    <t>Refined (flexible) atlatl dart (expert thrower)</t>
  </si>
  <si>
    <t>80-lb-draw pistol crossbow bolt</t>
  </si>
  <si>
    <r>
      <t>War arrow</t>
    </r>
    <r>
      <rPr>
        <sz val="10"/>
        <color rgb="FF000000"/>
        <rFont val="Arial"/>
        <family val="2"/>
      </rPr>
      <t> shot from a 150 lbs </t>
    </r>
    <r>
      <rPr>
        <sz val="10"/>
        <color rgb="FF0B0080"/>
        <rFont val="Arial"/>
        <family val="2"/>
      </rPr>
      <t>medieval warbow</t>
    </r>
  </si>
  <si>
    <t>Paintball fired from marker</t>
  </si>
  <si>
    <t>175-lb-draw crossbow bolt</t>
  </si>
  <si>
    <r>
      <t>Air gun</t>
    </r>
    <r>
      <rPr>
        <sz val="10"/>
        <color rgb="FF000000"/>
        <rFont val="Arial"/>
        <family val="2"/>
      </rPr>
      <t> </t>
    </r>
    <r>
      <rPr>
        <sz val="10"/>
        <color rgb="FF0B0080"/>
        <rFont val="Arial"/>
        <family val="2"/>
      </rPr>
      <t>pellet</t>
    </r>
    <r>
      <rPr>
        <sz val="10"/>
        <color rgb="FF000000"/>
        <rFont val="Arial"/>
        <family val="2"/>
      </rPr>
      <t> 6 mm </t>
    </r>
    <r>
      <rPr>
        <sz val="10"/>
        <color rgb="FF0B0080"/>
        <rFont val="Arial"/>
        <family val="2"/>
      </rPr>
      <t>BB</t>
    </r>
  </si>
  <si>
    <t>Rifle bullet 4.5 mm</t>
  </si>
  <si>
    <t>Air gun pellet (magnum-power air rifle)</t>
  </si>
  <si>
    <r>
      <t>9×19 mm</t>
    </r>
    <r>
      <rPr>
        <sz val="10"/>
        <color rgb="FF000000"/>
        <rFont val="Arial"/>
        <family val="2"/>
      </rPr>
      <t> (bullet of a </t>
    </r>
    <r>
      <rPr>
        <sz val="10"/>
        <color rgb="FF0B0080"/>
        <rFont val="Arial"/>
        <family val="2"/>
      </rPr>
      <t>pistol</t>
    </r>
    <r>
      <rPr>
        <sz val="10"/>
        <color rgb="FF000000"/>
        <rFont val="Arial"/>
        <family val="2"/>
      </rPr>
      <t>)</t>
    </r>
  </si>
  <si>
    <r>
      <t>12.7×99 mm</t>
    </r>
    <r>
      <rPr>
        <sz val="10"/>
        <color rgb="FF000000"/>
        <rFont val="Arial"/>
        <family val="2"/>
      </rPr>
      <t> (bullet of a heavy </t>
    </r>
    <r>
      <rPr>
        <sz val="10"/>
        <color rgb="FF0B0080"/>
        <rFont val="Arial"/>
        <family val="2"/>
      </rPr>
      <t>machine gun</t>
    </r>
    <r>
      <rPr>
        <sz val="10"/>
        <color rgb="FF000000"/>
        <rFont val="Arial"/>
        <family val="2"/>
      </rPr>
      <t>)</t>
    </r>
  </si>
  <si>
    <t>German Tiger I 88 mm (tank shell- Pzgr. 39 APCBCHE)</t>
  </si>
  <si>
    <t>5.56×45 mm (standard bullet used in many assault rifles)</t>
  </si>
  <si>
    <r>
      <t>25×1400 mm (</t>
    </r>
    <r>
      <rPr>
        <sz val="10"/>
        <color rgb="FF0B0080"/>
        <rFont val="Arial"/>
        <family val="2"/>
      </rPr>
      <t>APFSDS</t>
    </r>
    <r>
      <rPr>
        <sz val="10"/>
        <color rgb="FF000000"/>
        <rFont val="Arial"/>
        <family val="2"/>
      </rPr>
      <t>, </t>
    </r>
    <r>
      <rPr>
        <sz val="10"/>
        <color rgb="FF0B0080"/>
        <rFont val="Arial"/>
        <family val="2"/>
      </rPr>
      <t>tank</t>
    </r>
    <r>
      <rPr>
        <sz val="10"/>
        <color rgb="FF000000"/>
        <rFont val="Arial"/>
        <family val="2"/>
      </rPr>
      <t> penetrator)</t>
    </r>
  </si>
  <si>
    <t>2 kg tungsten Slug (from Experimental Railgun)</t>
  </si>
  <si>
    <r>
      <t>ICBM</t>
    </r>
    <r>
      <rPr>
        <sz val="10"/>
        <color rgb="FF000000"/>
        <rFont val="Arial"/>
        <family val="2"/>
      </rPr>
      <t> </t>
    </r>
    <r>
      <rPr>
        <sz val="10"/>
        <color rgb="FF0B0080"/>
        <rFont val="Arial"/>
        <family val="2"/>
      </rPr>
      <t>reentry vehicle</t>
    </r>
  </si>
  <si>
    <t>Up to 4,000</t>
  </si>
  <si>
    <t>Up to 14,000</t>
  </si>
  <si>
    <t>Up to 13,000</t>
  </si>
  <si>
    <t>Up to 9,000</t>
  </si>
  <si>
    <t>Up to 8,000,000</t>
  </si>
  <si>
    <t>projectile of a light gas gun</t>
  </si>
  <si>
    <t>Up to 7,000</t>
  </si>
  <si>
    <t>Up to 25,000</t>
  </si>
  <si>
    <t>Up to 23,000</t>
  </si>
  <si>
    <t>Up to 16,000</t>
  </si>
  <si>
    <t>Up to 24,000,000</t>
  </si>
  <si>
    <t>Satellite in low earth orbit</t>
  </si>
  <si>
    <t>Exoatmospheric Kill Vehicle</t>
  </si>
  <si>
    <t>~10,000</t>
  </si>
  <si>
    <t>~36,000</t>
  </si>
  <si>
    <t>~33,000</t>
  </si>
  <si>
    <t>~22,000</t>
  </si>
  <si>
    <t>~50,000,000</t>
  </si>
  <si>
    <r>
      <t>Projectile (e.g., </t>
    </r>
    <r>
      <rPr>
        <sz val="10"/>
        <color rgb="FF0B0080"/>
        <rFont val="Arial"/>
        <family val="2"/>
      </rPr>
      <t>space debris</t>
    </r>
    <r>
      <rPr>
        <sz val="10"/>
        <color rgb="FF000000"/>
        <rFont val="Arial"/>
        <family val="2"/>
      </rPr>
      <t>) and target both in </t>
    </r>
    <r>
      <rPr>
        <sz val="10"/>
        <color rgb="FF0B0080"/>
        <rFont val="Arial"/>
        <family val="2"/>
      </rPr>
      <t>low earth orbit</t>
    </r>
  </si>
  <si>
    <t>0–16,000</t>
  </si>
  <si>
    <t>~58,000</t>
  </si>
  <si>
    <t>~53,000</t>
  </si>
  <si>
    <t>~130,000,000</t>
  </si>
  <si>
    <t>Att</t>
  </si>
  <si>
    <t>Melee</t>
  </si>
  <si>
    <t>Agi</t>
  </si>
  <si>
    <t>Str</t>
  </si>
  <si>
    <t>Con</t>
  </si>
  <si>
    <t>Armor</t>
  </si>
  <si>
    <t>Parry</t>
  </si>
  <si>
    <t>DefDef</t>
  </si>
  <si>
    <t>Dodge</t>
  </si>
  <si>
    <t>Gym</t>
  </si>
  <si>
    <t>?</t>
  </si>
  <si>
    <t>Ranged</t>
  </si>
  <si>
    <t>Accuracy</t>
  </si>
  <si>
    <t>MAtt</t>
  </si>
  <si>
    <t>RAtt</t>
  </si>
  <si>
    <t>Attack</t>
  </si>
  <si>
    <t>Evade</t>
  </si>
  <si>
    <t>Damage</t>
  </si>
  <si>
    <t>Soaking</t>
  </si>
  <si>
    <t>MDmg</t>
  </si>
  <si>
    <t>RDmg</t>
  </si>
  <si>
    <t>HP 10</t>
  </si>
  <si>
    <t>Udmg</t>
  </si>
  <si>
    <t>Purity</t>
  </si>
  <si>
    <t>Steel</t>
  </si>
  <si>
    <t>Bronze</t>
  </si>
  <si>
    <t>Silver</t>
  </si>
  <si>
    <t>Gold</t>
  </si>
  <si>
    <t>Palladium</t>
  </si>
  <si>
    <t>Iron</t>
  </si>
  <si>
    <t>Titanium</t>
  </si>
  <si>
    <t>Mithrium</t>
  </si>
  <si>
    <t>Run m/s</t>
  </si>
  <si>
    <t>Sprint m/s</t>
  </si>
  <si>
    <t>Jog m/s</t>
  </si>
  <si>
    <t>Walk m/s</t>
  </si>
  <si>
    <t>Bonus AP</t>
  </si>
  <si>
    <t>Walk</t>
  </si>
  <si>
    <t>m/rd</t>
  </si>
  <si>
    <t>Sprint</t>
  </si>
  <si>
    <t>1rd</t>
  </si>
  <si>
    <t>2rd</t>
  </si>
  <si>
    <t>6s</t>
  </si>
  <si>
    <t>12s</t>
  </si>
  <si>
    <t>Teorethical</t>
  </si>
  <si>
    <t>120m</t>
  </si>
  <si>
    <t>top speed</t>
  </si>
  <si>
    <t>Run</t>
  </si>
  <si>
    <t>This means 1m/2ap sprinting</t>
  </si>
  <si>
    <t>Stroll(AP)</t>
  </si>
  <si>
    <t>Caster</t>
  </si>
  <si>
    <t>Target</t>
  </si>
  <si>
    <t>Area</t>
  </si>
  <si>
    <t>Range</t>
  </si>
  <si>
    <t>Delivery</t>
  </si>
  <si>
    <t>Touch</t>
  </si>
  <si>
    <t>The target must be touched</t>
  </si>
  <si>
    <t>X</t>
  </si>
  <si>
    <t>Missile</t>
  </si>
  <si>
    <t>Missile must be fired to target</t>
  </si>
  <si>
    <t>Designated area in the ray range is affected. Static area</t>
  </si>
  <si>
    <t>The caster is the target of the spell</t>
  </si>
  <si>
    <t>The caster is the center of the area and the area moves with the caster.</t>
  </si>
  <si>
    <t>Designated area starting in the point or object the target touches. Static area.</t>
  </si>
  <si>
    <t>Creature</t>
  </si>
  <si>
    <t>Plant</t>
  </si>
  <si>
    <t>Animal</t>
  </si>
  <si>
    <t>Humanoid</t>
  </si>
  <si>
    <t>Equipment</t>
  </si>
  <si>
    <t>Jewellery</t>
  </si>
  <si>
    <t>Tools</t>
  </si>
  <si>
    <t>Item</t>
  </si>
  <si>
    <t>Spell</t>
  </si>
  <si>
    <t>Enchantment</t>
  </si>
  <si>
    <t>Ring</t>
  </si>
  <si>
    <t>Necklace</t>
  </si>
  <si>
    <t>Lens</t>
  </si>
  <si>
    <t>Brooch</t>
  </si>
  <si>
    <t>Flag</t>
  </si>
  <si>
    <t>Orb</t>
  </si>
  <si>
    <t>Amulet</t>
  </si>
  <si>
    <t>Axe</t>
  </si>
  <si>
    <t>Pick</t>
  </si>
  <si>
    <t>Hammer</t>
  </si>
  <si>
    <t>Polearms</t>
  </si>
  <si>
    <t>Bow</t>
  </si>
  <si>
    <t>Crossbow</t>
  </si>
  <si>
    <t>Type</t>
  </si>
  <si>
    <t>Subtype</t>
  </si>
  <si>
    <t>Trait</t>
  </si>
  <si>
    <t>Aberration</t>
  </si>
  <si>
    <t>Beast</t>
  </si>
  <si>
    <t>Construct</t>
  </si>
  <si>
    <t>Elemental</t>
  </si>
  <si>
    <t>Undead</t>
  </si>
  <si>
    <t>Artifact</t>
  </si>
  <si>
    <t>Invocation</t>
  </si>
  <si>
    <t>Shrine</t>
  </si>
  <si>
    <t>Phylactery</t>
  </si>
  <si>
    <t>Chalice</t>
  </si>
  <si>
    <t>Painting</t>
  </si>
  <si>
    <t>Backpack</t>
  </si>
  <si>
    <t>Tack and harness</t>
  </si>
  <si>
    <t>Brush</t>
  </si>
  <si>
    <t>Lockpicks</t>
  </si>
  <si>
    <t>Human</t>
  </si>
  <si>
    <t>Orc</t>
  </si>
  <si>
    <t>Elves</t>
  </si>
  <si>
    <t>Scroll</t>
  </si>
  <si>
    <t>Potion</t>
  </si>
  <si>
    <t>Dust</t>
  </si>
  <si>
    <t>Skeleton</t>
  </si>
  <si>
    <t>Zombie</t>
  </si>
  <si>
    <t>Vampire</t>
  </si>
  <si>
    <t>Gargoyles</t>
  </si>
  <si>
    <t>Golem</t>
  </si>
  <si>
    <t>Goblin</t>
  </si>
  <si>
    <t>Troll</t>
  </si>
  <si>
    <t>Dragon</t>
  </si>
  <si>
    <t>Ogre</t>
  </si>
  <si>
    <t>Angel</t>
  </si>
  <si>
    <t>Demon</t>
  </si>
  <si>
    <t>Any common animal, lions, tigers, birds, crocodiles, etc</t>
  </si>
  <si>
    <t>Genie</t>
  </si>
  <si>
    <t>Spirit</t>
  </si>
  <si>
    <t>Statues animated by an spirit imprisoned by magic.</t>
  </si>
  <si>
    <t>Automaton</t>
  </si>
  <si>
    <t>Shield</t>
  </si>
  <si>
    <t>Chain</t>
  </si>
  <si>
    <t>Leather</t>
  </si>
  <si>
    <t>Cloth</t>
  </si>
  <si>
    <t>Blacksmith</t>
  </si>
  <si>
    <t>Jeweller</t>
  </si>
  <si>
    <t>Summoning</t>
  </si>
  <si>
    <t>Execute a magical effect. The effects are applied in a moment.</t>
  </si>
  <si>
    <t>A spell that remains in place for a long time.</t>
  </si>
  <si>
    <t>A creature is summoned and stays unti the spell time ends or it is dispelled.</t>
  </si>
  <si>
    <t>Engine</t>
  </si>
  <si>
    <t>Tree</t>
  </si>
  <si>
    <t>Herbs</t>
  </si>
  <si>
    <t>Insect</t>
  </si>
  <si>
    <t>Ghost</t>
  </si>
  <si>
    <t>A native creature from an elemental plane.</t>
  </si>
  <si>
    <t>Angels are creatures of the element of air. They have no free will and will do whatever the greater gods command them to.</t>
  </si>
  <si>
    <t>Demons are creatures of fire. They burn with a permanent hatred against all other creatures.</t>
  </si>
  <si>
    <t>Combination of animals, chimeras, gryphons, owlbear, mermaids, gorgon, basilisk, satyr</t>
  </si>
  <si>
    <t>Multiple legs and exoskeleton. With great strength and natural armor.</t>
  </si>
  <si>
    <t>The kings of all creatures. There are dragons specialized for each magical element including fire, ice, earth etc</t>
  </si>
  <si>
    <t>Humanoids have human size and shape.</t>
  </si>
  <si>
    <t>Giant</t>
  </si>
  <si>
    <t>Giants and larger versions of the creatures</t>
  </si>
  <si>
    <t>Statues animated by artificial mechanisms.</t>
  </si>
  <si>
    <t>Natural living statues, can be made from any material</t>
  </si>
  <si>
    <t>Big plant with a trunk and branches.</t>
  </si>
  <si>
    <t>Small bushes and pasture</t>
  </si>
  <si>
    <t>Fungoid type plants</t>
  </si>
  <si>
    <t>Fungoid</t>
  </si>
  <si>
    <t>Modifiers</t>
  </si>
  <si>
    <t>Undead version of creatures are created when the creature is by magical means.</t>
  </si>
  <si>
    <t>Any beast, humanoid or plant can be altered with the following modifiers.</t>
  </si>
  <si>
    <t>Body remains animated by their own spirit which is prevented from leaving by magical means. They retain all their skills but have no free will.</t>
  </si>
  <si>
    <t>Lesser undead. Zombies have no intelligence or skills and live to feed from living flesh. They can't use tools. They can be controlled by magical means.</t>
  </si>
  <si>
    <t>Vampires are undead beings that feed on the life essence of others in order to stay alive. It has the Drain Life spell once per day.</t>
  </si>
  <si>
    <t>They are souls that can't leave the physical world, waiting for vengeance, for their own bad deeds or trying to fix some traumatic event. With no body to do so they grow frustrated and angry. They haunt a location related to their lives. Can't be damaged by physical weapons or damage.</t>
  </si>
  <si>
    <t>Example</t>
  </si>
  <si>
    <t>Revenant, Apparitions</t>
  </si>
  <si>
    <t>Ghouls</t>
  </si>
  <si>
    <t>Water based</t>
  </si>
  <si>
    <t>Life based</t>
  </si>
  <si>
    <t>Fire based</t>
  </si>
  <si>
    <t>Death based</t>
  </si>
  <si>
    <t>Earth based</t>
  </si>
  <si>
    <t>Embodiement of one of the elements. Jinns, Sylph, Undine, Salamander, Phoenix</t>
  </si>
  <si>
    <t>Triton</t>
  </si>
  <si>
    <t>Sylphs</t>
  </si>
  <si>
    <t>Air based</t>
  </si>
  <si>
    <t>Death based, cannibalistic</t>
  </si>
  <si>
    <t>Dwarves</t>
  </si>
  <si>
    <t>A construction moved by a crew</t>
  </si>
  <si>
    <t>v(1) * (n3/(1)3)</t>
  </si>
  <si>
    <t>Carry</t>
  </si>
  <si>
    <t>Lair</t>
  </si>
  <si>
    <t>Items</t>
  </si>
  <si>
    <t>Magic %</t>
  </si>
  <si>
    <t>C.Lvl</t>
  </si>
  <si>
    <t>Figurine</t>
  </si>
  <si>
    <t>Name</t>
  </si>
  <si>
    <t>Age</t>
  </si>
  <si>
    <t>Ht</t>
  </si>
  <si>
    <t>Wt</t>
  </si>
  <si>
    <t>XP</t>
  </si>
  <si>
    <t>Lvl</t>
  </si>
  <si>
    <t>Fire</t>
  </si>
  <si>
    <t>Water</t>
  </si>
  <si>
    <t>Air</t>
  </si>
  <si>
    <t>Earth</t>
  </si>
  <si>
    <t>Life</t>
  </si>
  <si>
    <t>Death</t>
  </si>
  <si>
    <t>Power</t>
  </si>
  <si>
    <t>APs</t>
  </si>
  <si>
    <t>Health</t>
  </si>
  <si>
    <t>Base</t>
  </si>
  <si>
    <t>ExHealth</t>
  </si>
  <si>
    <t>BaseHealth</t>
  </si>
  <si>
    <t>BaseStamina</t>
  </si>
  <si>
    <t>ExStamina</t>
  </si>
  <si>
    <t>Stamina</t>
  </si>
  <si>
    <t>BaseMana</t>
  </si>
  <si>
    <t>ExMana</t>
  </si>
  <si>
    <t>Mana</t>
  </si>
  <si>
    <t>Total</t>
  </si>
  <si>
    <t>Skill Rank</t>
  </si>
  <si>
    <t>BaseSoak</t>
  </si>
  <si>
    <t>ExSoak</t>
  </si>
  <si>
    <t>DmgBonus</t>
  </si>
  <si>
    <t>Material</t>
  </si>
  <si>
    <t>Attribute</t>
  </si>
  <si>
    <t>Language</t>
  </si>
  <si>
    <t>Geology</t>
  </si>
  <si>
    <t>Healing</t>
  </si>
  <si>
    <t>History</t>
  </si>
  <si>
    <t>Geography</t>
  </si>
  <si>
    <t>Law</t>
  </si>
  <si>
    <t>Metallurgy</t>
  </si>
  <si>
    <t>Rhetoric and logic</t>
  </si>
  <si>
    <t>Acting</t>
  </si>
  <si>
    <t>Disguise</t>
  </si>
  <si>
    <t>Illustrator</t>
  </si>
  <si>
    <t>Manipulation</t>
  </si>
  <si>
    <t>Articulate</t>
  </si>
  <si>
    <t>Music</t>
  </si>
  <si>
    <t>Agriculture</t>
  </si>
  <si>
    <t>Engineering, Geology</t>
  </si>
  <si>
    <t>Cooking</t>
  </si>
  <si>
    <t>Drawing</t>
  </si>
  <si>
    <t>Geology, Metallurgy</t>
  </si>
  <si>
    <t>Locksmith</t>
  </si>
  <si>
    <t>Tailor/Seamstress</t>
  </si>
  <si>
    <t>Acrobatics</t>
  </si>
  <si>
    <t>Climb</t>
  </si>
  <si>
    <t>Jump</t>
  </si>
  <si>
    <t>Riding</t>
  </si>
  <si>
    <t>Animal Handling</t>
  </si>
  <si>
    <t>Nature</t>
  </si>
  <si>
    <t>Herbalism</t>
  </si>
  <si>
    <t>Hunting</t>
  </si>
  <si>
    <t>Tracking, Nature</t>
  </si>
  <si>
    <t>Navigation</t>
  </si>
  <si>
    <t>Survival</t>
  </si>
  <si>
    <t>Tracking</t>
  </si>
  <si>
    <t>Forgery</t>
  </si>
  <si>
    <t>Listening</t>
  </si>
  <si>
    <t>Observation</t>
  </si>
  <si>
    <t>Pick Locks</t>
  </si>
  <si>
    <t>Sleight of hand</t>
  </si>
  <si>
    <t>Pick pockets</t>
  </si>
  <si>
    <t>Stealth</t>
  </si>
  <si>
    <t>Streetwise</t>
  </si>
  <si>
    <t>Tactics</t>
  </si>
  <si>
    <t>Taunt</t>
  </si>
  <si>
    <t>Rank</t>
  </si>
  <si>
    <t>Combine</t>
  </si>
  <si>
    <t>Tool</t>
  </si>
  <si>
    <t>Engineering</t>
  </si>
  <si>
    <t>Articulate, Disguise</t>
  </si>
  <si>
    <t>Cooking, Herbalism</t>
  </si>
  <si>
    <t>Engineering, Sleight of hand</t>
  </si>
  <si>
    <t>MaxSkillLvl</t>
  </si>
  <si>
    <t>MaxSkills</t>
  </si>
  <si>
    <t>Soft Leather</t>
  </si>
  <si>
    <t>Price</t>
  </si>
  <si>
    <t>Soak (S/P/B)</t>
  </si>
  <si>
    <t>Air Pty</t>
  </si>
  <si>
    <t>Weight</t>
  </si>
  <si>
    <t>2gp</t>
  </si>
  <si>
    <t>5kg</t>
  </si>
  <si>
    <t>Hard Leather</t>
  </si>
  <si>
    <t>3gp</t>
  </si>
  <si>
    <t>6kg</t>
  </si>
  <si>
    <t>Brigandine</t>
  </si>
  <si>
    <t>5gp</t>
  </si>
  <si>
    <t>8kg</t>
  </si>
  <si>
    <t>Ring mail</t>
  </si>
  <si>
    <t>10gp</t>
  </si>
  <si>
    <t>10kg</t>
  </si>
  <si>
    <t>Scale mail</t>
  </si>
  <si>
    <t>40gp</t>
  </si>
  <si>
    <t>15kg</t>
  </si>
  <si>
    <t>Plate mail</t>
  </si>
  <si>
    <t>50gp</t>
  </si>
  <si>
    <t>20kg</t>
  </si>
  <si>
    <t>Chain Shirt</t>
  </si>
  <si>
    <t>60gp</t>
  </si>
  <si>
    <t>Metal</t>
  </si>
  <si>
    <t>Body Chain</t>
  </si>
  <si>
    <t>90gp</t>
  </si>
  <si>
    <t>Full Chain</t>
  </si>
  <si>
    <t>120gp</t>
  </si>
  <si>
    <t>Breastplate</t>
  </si>
  <si>
    <t>Half Plate</t>
  </si>
  <si>
    <t>Full Plate</t>
  </si>
  <si>
    <t>150gp</t>
  </si>
  <si>
    <t>25kg</t>
  </si>
  <si>
    <t>Padded</t>
  </si>
  <si>
    <t>1gp</t>
  </si>
  <si>
    <t>4kg</t>
  </si>
  <si>
    <t>S</t>
  </si>
  <si>
    <t>P</t>
  </si>
  <si>
    <t>B</t>
  </si>
  <si>
    <t>Materials</t>
  </si>
  <si>
    <t>Category</t>
  </si>
  <si>
    <t>Hardness</t>
  </si>
  <si>
    <t>Gemstone</t>
  </si>
  <si>
    <t>Wood</t>
  </si>
  <si>
    <t>Bonus</t>
  </si>
  <si>
    <t>Cotton</t>
  </si>
  <si>
    <t>1sp/kg</t>
  </si>
  <si>
    <t>Cotton cloth, coarse</t>
  </si>
  <si>
    <t>1sp/sqm</t>
  </si>
  <si>
    <t>Cotton cloth, fine</t>
  </si>
  <si>
    <t>1gp/sqm</t>
  </si>
  <si>
    <t>Silk</t>
  </si>
  <si>
    <t>10gp/sqm</t>
  </si>
  <si>
    <t>Wool</t>
  </si>
  <si>
    <t>2cp/kg</t>
  </si>
  <si>
    <t>Wool cloth, coarse</t>
  </si>
  <si>
    <t>2cp/sqm</t>
  </si>
  <si>
    <t>Wool cloth, fine</t>
  </si>
  <si>
    <t>Categories</t>
  </si>
  <si>
    <t>Tawny</t>
  </si>
  <si>
    <t>1cp</t>
  </si>
  <si>
    <t>Pyrite</t>
  </si>
  <si>
    <t>10cp</t>
  </si>
  <si>
    <t>Agathe</t>
  </si>
  <si>
    <t>20cp</t>
  </si>
  <si>
    <t>Lapis</t>
  </si>
  <si>
    <t>40cp</t>
  </si>
  <si>
    <t>Hematite</t>
  </si>
  <si>
    <t>60cp</t>
  </si>
  <si>
    <t>Amethist</t>
  </si>
  <si>
    <t>80cp</t>
  </si>
  <si>
    <t>Cobalt</t>
  </si>
  <si>
    <t>1sp</t>
  </si>
  <si>
    <t>Jade</t>
  </si>
  <si>
    <t>20sp</t>
  </si>
  <si>
    <t>Turquoise</t>
  </si>
  <si>
    <t>40sp</t>
  </si>
  <si>
    <t>Quartz</t>
  </si>
  <si>
    <t>60sp</t>
  </si>
  <si>
    <t>Sapphire</t>
  </si>
  <si>
    <t>80sp</t>
  </si>
  <si>
    <t>Ruby</t>
  </si>
  <si>
    <t>Amber</t>
  </si>
  <si>
    <t>Topaz</t>
  </si>
  <si>
    <t>4gp</t>
  </si>
  <si>
    <t>Emerald</t>
  </si>
  <si>
    <t>6gp</t>
  </si>
  <si>
    <t>Obsidian</t>
  </si>
  <si>
    <t>8gp</t>
  </si>
  <si>
    <t xml:space="preserve">Diamond </t>
  </si>
  <si>
    <t>Gemstones</t>
  </si>
  <si>
    <t>Wolf</t>
  </si>
  <si>
    <t>Bear/Lioness</t>
  </si>
  <si>
    <t>Hatchling Dragon</t>
  </si>
  <si>
    <t>Badger/Wolverine</t>
  </si>
  <si>
    <t>Lion</t>
  </si>
  <si>
    <t>Crocodile/Buffalo</t>
  </si>
  <si>
    <t>Young Dragon</t>
  </si>
  <si>
    <t>Rhinoceros /Tiger</t>
  </si>
  <si>
    <t>Panther</t>
  </si>
  <si>
    <t>Adult Dragon</t>
  </si>
  <si>
    <t>Shark</t>
  </si>
  <si>
    <t>Giant whale</t>
  </si>
  <si>
    <t>Ancient Dragon</t>
  </si>
  <si>
    <t>Leviathan</t>
  </si>
  <si>
    <t>Kraken</t>
  </si>
  <si>
    <t>Wyrm Dragon</t>
  </si>
  <si>
    <t>Price/kg</t>
  </si>
  <si>
    <t>Copper</t>
  </si>
  <si>
    <t>30sp</t>
  </si>
  <si>
    <t>30gp</t>
  </si>
  <si>
    <t>1tp</t>
  </si>
  <si>
    <t>Platinum</t>
  </si>
  <si>
    <t>30tp</t>
  </si>
  <si>
    <t>60tp</t>
  </si>
  <si>
    <t>100tp</t>
  </si>
  <si>
    <t>Iridium</t>
  </si>
  <si>
    <t>3000tp</t>
  </si>
  <si>
    <t>Adamantium</t>
  </si>
  <si>
    <t>6000tp</t>
  </si>
  <si>
    <t>Meteoric</t>
  </si>
  <si>
    <t>10000tp</t>
  </si>
  <si>
    <t>Luthanum</t>
  </si>
  <si>
    <t>Illanium</t>
  </si>
  <si>
    <t>Arcanium</t>
  </si>
  <si>
    <t>Eonium</t>
  </si>
  <si>
    <t>Eternium</t>
  </si>
  <si>
    <t>Unobtanium</t>
  </si>
  <si>
    <t>Bone</t>
  </si>
  <si>
    <t>-</t>
  </si>
  <si>
    <t>Paper</t>
  </si>
  <si>
    <t>Ivory</t>
  </si>
  <si>
    <t>50gp/kg</t>
  </si>
  <si>
    <t>Vampire fangs</t>
  </si>
  <si>
    <t>Coal</t>
  </si>
  <si>
    <t>1cp/kg</t>
  </si>
  <si>
    <t>Graphite</t>
  </si>
  <si>
    <t>Graphene</t>
  </si>
  <si>
    <t>Carbon Nanotubes</t>
  </si>
  <si>
    <t>Pine</t>
  </si>
  <si>
    <t>Cedar</t>
  </si>
  <si>
    <t>Cypress</t>
  </si>
  <si>
    <t>Redwood</t>
  </si>
  <si>
    <t>Yew</t>
  </si>
  <si>
    <t>Walnut</t>
  </si>
  <si>
    <t>Ash</t>
  </si>
  <si>
    <t>Bamboo</t>
  </si>
  <si>
    <t>Balsa</t>
  </si>
  <si>
    <t>Birch</t>
  </si>
  <si>
    <t>Oak</t>
  </si>
  <si>
    <t>Ebony</t>
  </si>
  <si>
    <t>Elm</t>
  </si>
  <si>
    <t>Marblewood</t>
  </si>
  <si>
    <t>Mahogany</t>
  </si>
  <si>
    <t>Kingwood</t>
  </si>
  <si>
    <t>Ironwood</t>
  </si>
  <si>
    <t>Weapons</t>
  </si>
  <si>
    <t>Quality bonus</t>
  </si>
  <si>
    <t>Price factor</t>
  </si>
  <si>
    <t>x0.33</t>
  </si>
  <si>
    <t>x0.5</t>
  </si>
  <si>
    <t>x1</t>
  </si>
  <si>
    <t>x2</t>
  </si>
  <si>
    <t>x3</t>
  </si>
  <si>
    <t>x4</t>
  </si>
  <si>
    <t>x5</t>
  </si>
  <si>
    <t>x6</t>
  </si>
  <si>
    <t>x7</t>
  </si>
  <si>
    <t>x8</t>
  </si>
  <si>
    <t>x9</t>
  </si>
  <si>
    <t>x10</t>
  </si>
  <si>
    <t>x11</t>
  </si>
  <si>
    <t>Slash</t>
  </si>
  <si>
    <t>Pierce</t>
  </si>
  <si>
    <t>Blunt</t>
  </si>
  <si>
    <t>Hands</t>
  </si>
  <si>
    <t>Reach</t>
  </si>
  <si>
    <t>Defence</t>
  </si>
  <si>
    <t>AP</t>
  </si>
  <si>
    <t>Size</t>
  </si>
  <si>
    <t>Hand Axe</t>
  </si>
  <si>
    <t>0</t>
  </si>
  <si>
    <t>Medium Axe</t>
  </si>
  <si>
    <t>M</t>
  </si>
  <si>
    <t>Broad Axe</t>
  </si>
  <si>
    <t>L</t>
  </si>
  <si>
    <t>War</t>
  </si>
  <si>
    <t>+2 (S)</t>
  </si>
  <si>
    <t>x1.5</t>
  </si>
  <si>
    <t>Double</t>
  </si>
  <si>
    <t>+0 (P)</t>
  </si>
  <si>
    <t>Throwing</t>
  </si>
  <si>
    <t>Dagger</t>
  </si>
  <si>
    <t>2xStr</t>
  </si>
  <si>
    <t>+2(P)</t>
  </si>
  <si>
    <t>Cestus</t>
  </si>
  <si>
    <t>4sp</t>
  </si>
  <si>
    <t>1</t>
  </si>
  <si>
    <t>Bladed gauntlet</t>
  </si>
  <si>
    <t>10sp</t>
  </si>
  <si>
    <t>Knife</t>
  </si>
  <si>
    <t>Sai</t>
  </si>
  <si>
    <t>2</t>
  </si>
  <si>
    <t>Longer blade</t>
  </si>
  <si>
    <t>Multiple blades</t>
  </si>
  <si>
    <t>xBlade</t>
  </si>
  <si>
    <t>4xStr</t>
  </si>
  <si>
    <t>+1(S/P)</t>
  </si>
  <si>
    <t>Club</t>
  </si>
  <si>
    <t>Mace</t>
  </si>
  <si>
    <t>Flail</t>
  </si>
  <si>
    <t>Str/2</t>
  </si>
  <si>
    <t>Staff</t>
  </si>
  <si>
    <t>2sp</t>
  </si>
  <si>
    <t>Spiked</t>
  </si>
  <si>
    <t>+1(P)</t>
  </si>
  <si>
    <t>Long shaft</t>
  </si>
  <si>
    <t>Additional head (Flail)</t>
  </si>
  <si>
    <t>xHead</t>
  </si>
  <si>
    <t>Pick (Hammer)</t>
  </si>
  <si>
    <t>+0(P)</t>
  </si>
  <si>
    <t>Bardiche</t>
  </si>
  <si>
    <t>12 (S)</t>
  </si>
  <si>
    <t>Wood, Metal</t>
  </si>
  <si>
    <t>Crowbill</t>
  </si>
  <si>
    <t>10 (P)</t>
  </si>
  <si>
    <t>Fauchard</t>
  </si>
  <si>
    <t>8 (S)</t>
  </si>
  <si>
    <t>Glaive</t>
  </si>
  <si>
    <t>Voulge</t>
  </si>
  <si>
    <t>Scythe</t>
  </si>
  <si>
    <t>4(S)</t>
  </si>
  <si>
    <t>Poleaxe</t>
  </si>
  <si>
    <t>Halberd</t>
  </si>
  <si>
    <t>War Scythe</t>
  </si>
  <si>
    <t>6(S)</t>
  </si>
  <si>
    <t>Guisarme</t>
  </si>
  <si>
    <t>6(P)*</t>
  </si>
  <si>
    <t>Javelin</t>
  </si>
  <si>
    <t>4 (P)</t>
  </si>
  <si>
    <t>Short Spear</t>
  </si>
  <si>
    <t>Long Spear</t>
  </si>
  <si>
    <t>Pilum</t>
  </si>
  <si>
    <t>Trident</t>
  </si>
  <si>
    <t>Brandistock</t>
  </si>
  <si>
    <t>Throwing Spear</t>
  </si>
  <si>
    <t>6 (P)</t>
  </si>
  <si>
    <t>Spetum</t>
  </si>
  <si>
    <t>5 (P)</t>
  </si>
  <si>
    <t>Pike (Heavy)</t>
  </si>
  <si>
    <t>Lance</t>
  </si>
  <si>
    <t>Backsword</t>
  </si>
  <si>
    <t>Sword</t>
  </si>
  <si>
    <t>Foil</t>
  </si>
  <si>
    <t>+2(S)</t>
  </si>
  <si>
    <t>Short Bow</t>
  </si>
  <si>
    <t>Hunter Bow</t>
  </si>
  <si>
    <t>Long Bow</t>
  </si>
  <si>
    <t>Recurved</t>
  </si>
  <si>
    <t>Composite</t>
  </si>
  <si>
    <t>Arrow</t>
  </si>
  <si>
    <t>Armor Piercing</t>
  </si>
  <si>
    <t>5sp</t>
  </si>
  <si>
    <t>+2 (P)</t>
  </si>
  <si>
    <t>Blunt head</t>
  </si>
  <si>
    <t>+0 (B)</t>
  </si>
  <si>
    <t>Serrated head</t>
  </si>
  <si>
    <t>+0 (S)</t>
  </si>
  <si>
    <t>Hand Crossbow</t>
  </si>
  <si>
    <t>Light Crossbow</t>
  </si>
  <si>
    <t>Heavy Crossbow</t>
  </si>
  <si>
    <t>Repeating</t>
  </si>
  <si>
    <t>X2</t>
  </si>
  <si>
    <t>X0.5</t>
  </si>
  <si>
    <t>Description</t>
  </si>
  <si>
    <t>Falling objects</t>
  </si>
  <si>
    <t>Object falling 1m</t>
  </si>
  <si>
    <t>Object falling 10m</t>
  </si>
  <si>
    <t>Object falling 100m</t>
  </si>
  <si>
    <t>Hurled, Normal projectiles</t>
  </si>
  <si>
    <t>Thrown club, hammer, axe</t>
  </si>
  <si>
    <t>Dart, spear</t>
  </si>
  <si>
    <t>Arrow, Bolt, Mechanical projectiles</t>
  </si>
  <si>
    <t>Bullet, Explosive projectiles</t>
  </si>
  <si>
    <t>Pistol</t>
  </si>
  <si>
    <t>Machine gun</t>
  </si>
  <si>
    <t>Tank gun</t>
  </si>
  <si>
    <t>Assault rifle, armor piercing</t>
  </si>
  <si>
    <t>Tank piercer</t>
  </si>
  <si>
    <t>Energy projectiles</t>
  </si>
  <si>
    <t>Railgun</t>
  </si>
  <si>
    <t>Light gas gun</t>
  </si>
  <si>
    <t>Plasma gun</t>
  </si>
  <si>
    <t>Ray</t>
  </si>
  <si>
    <t>Lightning</t>
  </si>
  <si>
    <t>Instant</t>
  </si>
  <si>
    <t>Missile Speeds</t>
  </si>
  <si>
    <t>Buckler</t>
  </si>
  <si>
    <t>50sp</t>
  </si>
  <si>
    <t>+0</t>
  </si>
  <si>
    <t>2kg</t>
  </si>
  <si>
    <t>Medium shield</t>
  </si>
  <si>
    <t>+2</t>
  </si>
  <si>
    <t>Body shield</t>
  </si>
  <si>
    <t>110sp</t>
  </si>
  <si>
    <t>Tower shield</t>
  </si>
  <si>
    <t>Full metal</t>
  </si>
  <si>
    <t>Lantern</t>
  </si>
  <si>
    <t>+0.5kg</t>
  </si>
  <si>
    <t>Reinforced</t>
  </si>
  <si>
    <t>Spiked shield</t>
  </si>
  <si>
    <t>Cow</t>
  </si>
  <si>
    <t>Sheep</t>
  </si>
  <si>
    <t>Parry missile = 1d20 + Weapon skill rank + Weapon quality bonus + Lightning reflexes</t>
  </si>
  <si>
    <t>Unarmed Damage = Melee result bonus + Fire attribute + hand protection quality bonus</t>
  </si>
  <si>
    <t>Ranged Weapon</t>
  </si>
  <si>
    <t>None</t>
  </si>
  <si>
    <t>Attributes</t>
  </si>
  <si>
    <t>Mods</t>
  </si>
  <si>
    <t>ArmorSoak</t>
  </si>
  <si>
    <t>TotalSoak</t>
  </si>
  <si>
    <t>AirPty</t>
  </si>
  <si>
    <t>Axe and pick</t>
  </si>
  <si>
    <t>Short Blade</t>
  </si>
  <si>
    <t>Long Blade</t>
  </si>
  <si>
    <t>Polearm</t>
  </si>
  <si>
    <t>Spear</t>
  </si>
  <si>
    <t>AxeAndPick</t>
  </si>
  <si>
    <t>ShortBlade</t>
  </si>
  <si>
    <t>LongBlade</t>
  </si>
  <si>
    <t>MeleeWeapon</t>
  </si>
  <si>
    <t>NoneWeapon</t>
  </si>
  <si>
    <t>Mbonus</t>
  </si>
  <si>
    <t>BodySoak</t>
  </si>
  <si>
    <t>Swim level</t>
  </si>
  <si>
    <t>Step multiplier</t>
  </si>
  <si>
    <t>Composite bow</t>
  </si>
  <si>
    <t>Catch missile = 1d20 + Melee skill rank + Lightning reflexes - Missile speed</t>
  </si>
  <si>
    <t>Dodge missile = 1d20 + Acrobatics skill rank + Lightning reflexes - Missile speed</t>
  </si>
  <si>
    <t>Hit missile = 1d20 + Weapon skill rank + Lightning reflexes - Missile speed - 10</t>
  </si>
  <si>
    <t>Race</t>
  </si>
  <si>
    <t>Races</t>
  </si>
  <si>
    <t>Dwarf</t>
  </si>
  <si>
    <t>Elf</t>
  </si>
  <si>
    <t>Sylph</t>
  </si>
  <si>
    <t>Ghoul</t>
  </si>
  <si>
    <t>Quality</t>
  </si>
  <si>
    <t>Weapon, Axes and Picks</t>
  </si>
  <si>
    <t>Weapon, Blunt</t>
  </si>
  <si>
    <t>Weapon, Long Blade</t>
  </si>
  <si>
    <t>Weapon, Short Blade</t>
  </si>
  <si>
    <t>Weapon, Shield</t>
  </si>
  <si>
    <t>Weapon, Bow</t>
  </si>
  <si>
    <t>Weapon, Crossbow</t>
  </si>
  <si>
    <t>Leatherworking</t>
  </si>
  <si>
    <t>APs/round</t>
  </si>
  <si>
    <t>DfBonus</t>
  </si>
  <si>
    <t>Mechanics, Electronics, Chemistry, Information*</t>
  </si>
  <si>
    <t>Familiar Terrain, Map Making</t>
  </si>
  <si>
    <t>Chemistry</t>
  </si>
  <si>
    <t>Fast Talking</t>
  </si>
  <si>
    <t>Writing</t>
  </si>
  <si>
    <t>Race specialization</t>
  </si>
  <si>
    <t>Martial Arts</t>
  </si>
  <si>
    <t>Weapon Specialization, Weapon Mastery</t>
  </si>
  <si>
    <t>Appraise</t>
  </si>
  <si>
    <t>Gem cutting</t>
  </si>
  <si>
    <t>Swimming</t>
  </si>
  <si>
    <t>Perks</t>
  </si>
  <si>
    <t>Skills</t>
  </si>
  <si>
    <t>Cost</t>
  </si>
  <si>
    <t>Alchemy</t>
  </si>
  <si>
    <t>Prerequisite</t>
  </si>
  <si>
    <t>Advanced Metallurgy</t>
  </si>
  <si>
    <t>Armor use</t>
  </si>
  <si>
    <t>Armor specialization</t>
  </si>
  <si>
    <t>Boxing</t>
  </si>
  <si>
    <t>Etiquette</t>
  </si>
  <si>
    <t>Familiar terrain</t>
  </si>
  <si>
    <t>Writing/Drawing/Illustrator</t>
  </si>
  <si>
    <t>Hold breath</t>
  </si>
  <si>
    <t>Home terrain</t>
  </si>
  <si>
    <t>Improved Health</t>
  </si>
  <si>
    <t>Improved Mana</t>
  </si>
  <si>
    <t>Lightning Reflexes</t>
  </si>
  <si>
    <t>Martial arts</t>
  </si>
  <si>
    <t>Material specialization</t>
  </si>
  <si>
    <t>Material mastery</t>
  </si>
  <si>
    <t>Healing +5</t>
  </si>
  <si>
    <t>Medicine</t>
  </si>
  <si>
    <t>Motor skills</t>
  </si>
  <si>
    <t>Gain power</t>
  </si>
  <si>
    <t>Name of the Void</t>
  </si>
  <si>
    <t>Name of the Flow</t>
  </si>
  <si>
    <t>Name of the Heart</t>
  </si>
  <si>
    <t>Name of the Flame</t>
  </si>
  <si>
    <t>Name of the Stone</t>
  </si>
  <si>
    <t>Name of the Wind</t>
  </si>
  <si>
    <t>Reading</t>
  </si>
  <si>
    <t>Starting money</t>
  </si>
  <si>
    <t>Weapon specialization</t>
  </si>
  <si>
    <t>Weapon mastery</t>
  </si>
  <si>
    <t>Weapon +5</t>
  </si>
  <si>
    <t>1/day</t>
  </si>
  <si>
    <t>3/day</t>
  </si>
  <si>
    <t>Week1</t>
  </si>
  <si>
    <t>L/2day</t>
  </si>
  <si>
    <t>L/day</t>
  </si>
  <si>
    <t>Reg10</t>
  </si>
  <si>
    <t>Reg</t>
  </si>
  <si>
    <t>D</t>
  </si>
  <si>
    <t>h/day</t>
  </si>
  <si>
    <t>h/hour</t>
  </si>
  <si>
    <t>h/min</t>
  </si>
  <si>
    <t>h/sec</t>
  </si>
  <si>
    <t>Heal Weeks</t>
  </si>
  <si>
    <t>HealDays</t>
  </si>
  <si>
    <t>HealHrs</t>
  </si>
  <si>
    <t>Heal/mins</t>
  </si>
  <si>
    <t>h/rd</t>
  </si>
  <si>
    <t>h/AP</t>
  </si>
  <si>
    <t>Carpenter</t>
  </si>
  <si>
    <t>Weapon wrestling</t>
  </si>
  <si>
    <t>Whip specialization</t>
  </si>
  <si>
    <t>Low light vision</t>
  </si>
  <si>
    <t>Forest</t>
  </si>
  <si>
    <t>Bernard the sober</t>
  </si>
  <si>
    <t>Name of heart to Life</t>
  </si>
  <si>
    <t>Problem with combine and accuracy</t>
  </si>
  <si>
    <t>c</t>
  </si>
  <si>
    <t>s</t>
  </si>
  <si>
    <t>g</t>
  </si>
  <si>
    <t>t</t>
  </si>
  <si>
    <t>power(12,q/5-1)</t>
  </si>
  <si>
    <t>Consumable</t>
  </si>
  <si>
    <t>Gauntlet</t>
  </si>
  <si>
    <t>Flexible</t>
  </si>
  <si>
    <t>Whip</t>
  </si>
  <si>
    <t>DR</t>
  </si>
  <si>
    <t>DmgType</t>
  </si>
  <si>
    <t>Specialized</t>
  </si>
  <si>
    <t>Battle Axe</t>
  </si>
  <si>
    <t>1072bp</t>
  </si>
  <si>
    <t>S/P</t>
  </si>
  <si>
    <t>110bp</t>
  </si>
  <si>
    <t>Military Pick</t>
  </si>
  <si>
    <t>2359bp</t>
  </si>
  <si>
    <t>Tomahawk</t>
  </si>
  <si>
    <t>140bp</t>
  </si>
  <si>
    <t>Pick Axe</t>
  </si>
  <si>
    <t>825bp</t>
  </si>
  <si>
    <t>Double Axe</t>
  </si>
  <si>
    <t>1500bp</t>
  </si>
  <si>
    <t>War Axe</t>
  </si>
  <si>
    <t>1950bp</t>
  </si>
  <si>
    <t>990bp</t>
  </si>
  <si>
    <t>Warhammer</t>
  </si>
  <si>
    <t>650bp</t>
  </si>
  <si>
    <t>Bec de corbin</t>
  </si>
  <si>
    <t>792bp</t>
  </si>
  <si>
    <t>P/B</t>
  </si>
  <si>
    <t>Spiked club</t>
  </si>
  <si>
    <t>12bp</t>
  </si>
  <si>
    <t>Morning star</t>
  </si>
  <si>
    <t>144bp</t>
  </si>
  <si>
    <t>Flanged mace</t>
  </si>
  <si>
    <t>130bp</t>
  </si>
  <si>
    <t>Short flail</t>
  </si>
  <si>
    <t>Rope</t>
  </si>
  <si>
    <t>Meteor hammer</t>
  </si>
  <si>
    <t>780bp</t>
  </si>
  <si>
    <t>Dragon claw</t>
  </si>
  <si>
    <t>845bp</t>
  </si>
  <si>
    <t>S/B</t>
  </si>
  <si>
    <t>Bullwhip</t>
  </si>
  <si>
    <t>Military flail</t>
  </si>
  <si>
    <t>Bolas</t>
  </si>
  <si>
    <t>18bp</t>
  </si>
  <si>
    <t>Nunchaku</t>
  </si>
  <si>
    <t>Flying hook</t>
  </si>
  <si>
    <t>14bp</t>
  </si>
  <si>
    <t>Three section staff</t>
  </si>
  <si>
    <t>15bp</t>
  </si>
  <si>
    <t>Kusarigama</t>
  </si>
  <si>
    <t>1170bp</t>
  </si>
  <si>
    <t>Flying claw</t>
  </si>
  <si>
    <t>13bp</t>
  </si>
  <si>
    <t>Scourge(5)</t>
  </si>
  <si>
    <t>19bp</t>
  </si>
  <si>
    <t>Spiked chain</t>
  </si>
  <si>
    <t>600bp</t>
  </si>
  <si>
    <t>Knuckles</t>
  </si>
  <si>
    <t>Metal Glove</t>
  </si>
  <si>
    <t>Hard Glove</t>
  </si>
  <si>
    <t>Soft Glove</t>
  </si>
  <si>
    <t>Pata</t>
  </si>
  <si>
    <t>280bp</t>
  </si>
  <si>
    <t>Boxing Gloves</t>
  </si>
  <si>
    <t>60bp</t>
  </si>
  <si>
    <t>Locking Glove</t>
  </si>
  <si>
    <t>240bp</t>
  </si>
  <si>
    <t>War Gauntlet</t>
  </si>
  <si>
    <t>312bp</t>
  </si>
  <si>
    <t>120bp</t>
  </si>
  <si>
    <t>Tiger Claws</t>
  </si>
  <si>
    <t>Sickle</t>
  </si>
  <si>
    <t>Dart</t>
  </si>
  <si>
    <t>218bp</t>
  </si>
  <si>
    <t>Machete</t>
  </si>
  <si>
    <t>338bp</t>
  </si>
  <si>
    <t>Cutlass</t>
  </si>
  <si>
    <t>185bp</t>
  </si>
  <si>
    <t>187bp</t>
  </si>
  <si>
    <t>143bp</t>
  </si>
  <si>
    <t>Throwing dagger</t>
  </si>
  <si>
    <t>Shuriken</t>
  </si>
  <si>
    <t>336bp</t>
  </si>
  <si>
    <t>202bp</t>
  </si>
  <si>
    <t>Wakisashi</t>
  </si>
  <si>
    <t>405bp</t>
  </si>
  <si>
    <t>Tanto</t>
  </si>
  <si>
    <t>1716bp</t>
  </si>
  <si>
    <t>War scythe</t>
  </si>
  <si>
    <t>2340bp</t>
  </si>
  <si>
    <t>Naginata</t>
  </si>
  <si>
    <t>3744bp</t>
  </si>
  <si>
    <t>Broad sword</t>
  </si>
  <si>
    <t>1300bp</t>
  </si>
  <si>
    <t>Odachi</t>
  </si>
  <si>
    <t>4056bp</t>
  </si>
  <si>
    <t>Sabre</t>
  </si>
  <si>
    <t>2200bp</t>
  </si>
  <si>
    <t>Falchion</t>
  </si>
  <si>
    <t>2860bp</t>
  </si>
  <si>
    <t>Katana</t>
  </si>
  <si>
    <t>3120bp</t>
  </si>
  <si>
    <t>Two-handed sword</t>
  </si>
  <si>
    <t>Stiletto</t>
  </si>
  <si>
    <t>Cavalry sabre</t>
  </si>
  <si>
    <t>Rapier</t>
  </si>
  <si>
    <t>1320bp</t>
  </si>
  <si>
    <t>Pike</t>
  </si>
  <si>
    <t>24bp</t>
  </si>
  <si>
    <t>Long staff</t>
  </si>
  <si>
    <t>28bp</t>
  </si>
  <si>
    <t>Quarterstaff</t>
  </si>
  <si>
    <t>Weapon modifiers</t>
  </si>
  <si>
    <t>Pick: Hand Axe; Pick.</t>
  </si>
  <si>
    <t>War Axe: Broad Axe; Double, War.</t>
  </si>
  <si>
    <t>Battle Axe: Medium Axe; Double, Pick, War.</t>
  </si>
  <si>
    <t>Pick Axe: Medium Axe; Double, Pick.</t>
  </si>
  <si>
    <t>Double Axe: Broad Axe; Double.</t>
  </si>
  <si>
    <t>Military Pick: Broad Axe; Double, Pick(x2), War.</t>
  </si>
  <si>
    <t>Tomahawk: Hand Axe; Throwing.</t>
  </si>
  <si>
    <t>Meteor hammer: Chain; Ball, Additional lash.</t>
  </si>
  <si>
    <t>Dragon claw: Chain; Claw, War.</t>
  </si>
  <si>
    <t>Spiked chain: Chain; Spiked.</t>
  </si>
  <si>
    <t>Scourge(5): Whip; Additional lash(x4).</t>
  </si>
  <si>
    <t>Bullwhip: Whip; Long lash.</t>
  </si>
  <si>
    <t>Military flail: Chain; Ball, War.</t>
  </si>
  <si>
    <t>Bolas: Rope; Ball, Throwing.</t>
  </si>
  <si>
    <t>Three section staff: Short flail; Three section.</t>
  </si>
  <si>
    <t>Kusarigama: Chain; Ball, Bladed, Long lash.</t>
  </si>
  <si>
    <t>Flying claw: Rope; Claw.</t>
  </si>
  <si>
    <t>Flying hook: Rope; Hook, Long lash.</t>
  </si>
  <si>
    <t>Cestus: Hard Glove; Spiked.</t>
  </si>
  <si>
    <t>Locking Glove: Metal Glove; Locking.</t>
  </si>
  <si>
    <t>Tiger Claws: Knuckles; Claw.</t>
  </si>
  <si>
    <t>War Gauntlet: Metal Glove; War, Spiked.</t>
  </si>
  <si>
    <t>Boxing Gloves: Soft Glove; Padded.</t>
  </si>
  <si>
    <t>Pata: Metal Glove; Dagger.</t>
  </si>
  <si>
    <t>Sai: Dagger; Weaponcatch, Foil.</t>
  </si>
  <si>
    <t>Shuriken: Knife; Throwing, Light.</t>
  </si>
  <si>
    <t>Tanto: Knife; War, Light.</t>
  </si>
  <si>
    <t>Machete: Knife; War, Long blade.</t>
  </si>
  <si>
    <t>Throwing dagger: Dagger; Throwing.</t>
  </si>
  <si>
    <t>Dart: Dagger; Throwing, Light, Foil.</t>
  </si>
  <si>
    <t>Cutlass: Dagger; Handguard, War, Long blade.</t>
  </si>
  <si>
    <t>Wakisashi: Knife; War, Light, Long blade.</t>
  </si>
  <si>
    <t>Claymore</t>
  </si>
  <si>
    <t>Odachi: Backsword; War, Light, Long blade.</t>
  </si>
  <si>
    <t>Katana: Backsword; War, Light.</t>
  </si>
  <si>
    <t>Sabre: Backsword; Handguard.</t>
  </si>
  <si>
    <t>Rapier: Sword; Handguard, Light.</t>
  </si>
  <si>
    <t>Broad sword: Sword; War.</t>
  </si>
  <si>
    <t>Falchion: Backsword; Handguard, War.</t>
  </si>
  <si>
    <t>Two-handed sword: Sword; Long blade.</t>
  </si>
  <si>
    <t>Cavalry sabre: Backsword; Handguard, Long blade.</t>
  </si>
  <si>
    <t>Stiletto: Sword; Foil.</t>
  </si>
  <si>
    <t>Bec de corbin: Hammer; Long shaft(x2), Pick.</t>
  </si>
  <si>
    <t>Lance: Dagger; Long shaft(x2), War.</t>
  </si>
  <si>
    <t>Long staff: Staff; Long shaft(x2).</t>
  </si>
  <si>
    <t>Poleaxe: Medium Axe; Double, Long shaft, Pick.</t>
  </si>
  <si>
    <t>War scythe: Scythe; Long shaft, War.</t>
  </si>
  <si>
    <t>Morning star: Mace; Long shaft, Spiked.</t>
  </si>
  <si>
    <t>Spear: Dagger; Long shaft.</t>
  </si>
  <si>
    <t>Quarterstaff: Staff; Long shaft.</t>
  </si>
  <si>
    <t>Spetum: Dagger; Long shaft, Long blade, Foil.</t>
  </si>
  <si>
    <t>Trident: Sword; Long shaft, Weaponcatch, War.</t>
  </si>
  <si>
    <t>Naginata: Backsword; Long shaft, War, Light.</t>
  </si>
  <si>
    <t>Pike: Staff; Long shaft.</t>
  </si>
  <si>
    <t>500bp</t>
  </si>
  <si>
    <t>10bp</t>
  </si>
  <si>
    <t>100bp</t>
  </si>
  <si>
    <t>Spiked mace</t>
  </si>
  <si>
    <t>Spiked mace: Mace; Spiked.</t>
  </si>
  <si>
    <t>Flanged mace: Mace; War.</t>
  </si>
  <si>
    <t>Warhammer: Hammer; War.</t>
  </si>
  <si>
    <t>Spiked club: Club; Spiked.</t>
  </si>
  <si>
    <t>Nunchaku: Short flail.</t>
  </si>
  <si>
    <t>200bp</t>
  </si>
  <si>
    <t>50bp</t>
  </si>
  <si>
    <t>2416bp</t>
  </si>
  <si>
    <t>Claymore: Sword; Weaponcatch, War, Long blade(x2).</t>
  </si>
  <si>
    <t>Short bow</t>
  </si>
  <si>
    <t>0/4</t>
  </si>
  <si>
    <t>Long bow</t>
  </si>
  <si>
    <t>800bp</t>
  </si>
  <si>
    <t>0/8</t>
  </si>
  <si>
    <t>Hunter bow</t>
  </si>
  <si>
    <t>400bp</t>
  </si>
  <si>
    <t>0/6</t>
  </si>
  <si>
    <t>War bow</t>
  </si>
  <si>
    <t>1560bp</t>
  </si>
  <si>
    <t>Strong bow</t>
  </si>
  <si>
    <t>1200bp</t>
  </si>
  <si>
    <t>War bow: Long bow; Recurve, Composite.</t>
  </si>
  <si>
    <t>Strong bow: Long bow; Composite.</t>
  </si>
  <si>
    <t>20bp</t>
  </si>
  <si>
    <t>Piercing arrow</t>
  </si>
  <si>
    <t>Tracer arrow</t>
  </si>
  <si>
    <t>40bp</t>
  </si>
  <si>
    <t>Expansive arrow</t>
  </si>
  <si>
    <t>Incendiary arrow</t>
  </si>
  <si>
    <t>Blunt arrow</t>
  </si>
  <si>
    <t>Broad arrow</t>
  </si>
  <si>
    <t>Explosive arrow</t>
  </si>
  <si>
    <t>Piercing arrow: Arrow; Armor piercing.</t>
  </si>
  <si>
    <t>Tracer arrow: Arrow; Tracer.</t>
  </si>
  <si>
    <t>Expansive arrow: Arrow; Expansive.</t>
  </si>
  <si>
    <t>Incendiary arrow: Arrow; Incendiary.</t>
  </si>
  <si>
    <t>Blunt arrow: Arrow; Blunt.</t>
  </si>
  <si>
    <t>Broad arrow: Arrow; Broad.</t>
  </si>
  <si>
    <t>Explosive arrow: Arrow; Explosive.</t>
  </si>
  <si>
    <t>melee</t>
  </si>
  <si>
    <t>Three section</t>
  </si>
  <si>
    <t>x1.4</t>
  </si>
  <si>
    <t>Hook</t>
  </si>
  <si>
    <t>x1.2</t>
  </si>
  <si>
    <t>x1.1</t>
  </si>
  <si>
    <t>Claw</t>
  </si>
  <si>
    <t>x1.3</t>
  </si>
  <si>
    <t>Additional lash</t>
  </si>
  <si>
    <t>Extending</t>
  </si>
  <si>
    <t>Handguard</t>
  </si>
  <si>
    <t>Ball</t>
  </si>
  <si>
    <t>Weighted</t>
  </si>
  <si>
    <t>Bladed</t>
  </si>
  <si>
    <t>Retracting</t>
  </si>
  <si>
    <t>Weaponcatch</t>
  </si>
  <si>
    <t>Locking</t>
  </si>
  <si>
    <t>Long lash</t>
  </si>
  <si>
    <t>Long blade</t>
  </si>
  <si>
    <t>+-</t>
  </si>
  <si>
    <t>Gemstone 12</t>
  </si>
  <si>
    <t>sp</t>
  </si>
  <si>
    <t>gp</t>
  </si>
  <si>
    <t>ct</t>
  </si>
  <si>
    <t>gr</t>
  </si>
  <si>
    <t>Carbon Nitride</t>
  </si>
  <si>
    <t>CN</t>
  </si>
  <si>
    <t>Osmium diboride</t>
  </si>
  <si>
    <t>Rhenium boride</t>
  </si>
  <si>
    <t>Boron nitride</t>
  </si>
  <si>
    <t>Beta carbon nitride</t>
  </si>
  <si>
    <r>
      <t>Lonsdaleite</t>
    </r>
    <r>
      <rPr>
        <sz val="10"/>
        <color rgb="FF000000"/>
        <rFont val="Arial"/>
        <family val="2"/>
      </rPr>
      <t> </t>
    </r>
  </si>
  <si>
    <t>58% harder than diamond, meteorites</t>
  </si>
  <si>
    <t>Graphite carbon nitride</t>
  </si>
  <si>
    <t>GCN</t>
  </si>
  <si>
    <t>ODB</t>
  </si>
  <si>
    <t>RB</t>
  </si>
  <si>
    <t>Heterodiamond</t>
  </si>
  <si>
    <t>Ultrahard nanotwined boron carbon nitride</t>
  </si>
  <si>
    <t>UH-BCN</t>
  </si>
  <si>
    <t>Buckycrystal</t>
  </si>
  <si>
    <t>Buckminsterfullerene</t>
  </si>
  <si>
    <t>Wurzite</t>
  </si>
  <si>
    <t>18% harder</t>
  </si>
  <si>
    <t>Twice as hard</t>
  </si>
  <si>
    <t>pp</t>
  </si>
  <si>
    <t>1bp</t>
  </si>
  <si>
    <t>Kevlar</t>
  </si>
  <si>
    <t>Polyester</t>
  </si>
  <si>
    <t>Spandex</t>
  </si>
  <si>
    <t>UHM Polyethilene</t>
  </si>
  <si>
    <t>Denim</t>
  </si>
  <si>
    <t>Fabric</t>
  </si>
  <si>
    <t>Price/q/Mat</t>
  </si>
  <si>
    <t>=</t>
  </si>
  <si>
    <t>weight</t>
  </si>
  <si>
    <t>*</t>
  </si>
  <si>
    <t>Material price</t>
  </si>
  <si>
    <t>Item DR</t>
  </si>
  <si>
    <t>Stone</t>
  </si>
  <si>
    <t>cp</t>
  </si>
  <si>
    <t>bp</t>
  </si>
  <si>
    <t>1gr</t>
  </si>
  <si>
    <t>10gr</t>
  </si>
  <si>
    <t>100gr</t>
  </si>
  <si>
    <t>1000gr</t>
  </si>
  <si>
    <t>6x100x100</t>
  </si>
  <si>
    <t>Mitrium</t>
  </si>
  <si>
    <t>3sp</t>
  </si>
  <si>
    <t>6sp</t>
  </si>
  <si>
    <t>12sp</t>
  </si>
  <si>
    <t>25sp</t>
  </si>
  <si>
    <t>Gauze</t>
  </si>
  <si>
    <t>Corduroy</t>
  </si>
  <si>
    <t>Flannel</t>
  </si>
  <si>
    <t>Jute</t>
  </si>
  <si>
    <t xml:space="preserve"> de reserva</t>
  </si>
  <si>
    <t>Combat</t>
  </si>
  <si>
    <t>Total Parry</t>
  </si>
  <si>
    <t>Total Dodge</t>
  </si>
  <si>
    <t>Total Soak</t>
  </si>
  <si>
    <t>Total Attack</t>
  </si>
  <si>
    <t>Weapon Skill</t>
  </si>
  <si>
    <t>Attack = Weapon skill + Air + Weapon bonuses</t>
  </si>
  <si>
    <t>Damage = Difference + Fire + Weapon bonuses</t>
  </si>
  <si>
    <t>Air penalty</t>
  </si>
  <si>
    <t>Shield skill</t>
  </si>
  <si>
    <t>Parry = Shield skill + Air + Shield bonuses</t>
  </si>
  <si>
    <t>Soak = Armor soak + Earth soak</t>
  </si>
  <si>
    <t>Dodge = Dodge skill + Air + Air bonuses</t>
  </si>
  <si>
    <t>Has to be attack/damage in order to make magic more flexible.</t>
  </si>
  <si>
    <t>2bp</t>
  </si>
  <si>
    <t>4bp</t>
  </si>
  <si>
    <t>8bp</t>
  </si>
  <si>
    <t>16bp</t>
  </si>
  <si>
    <t>32bp</t>
  </si>
  <si>
    <t>64bp</t>
  </si>
  <si>
    <t>128bp</t>
  </si>
  <si>
    <t>256bp</t>
  </si>
  <si>
    <t>512bp</t>
  </si>
  <si>
    <t>1024bp</t>
  </si>
  <si>
    <t>2048bp</t>
  </si>
  <si>
    <t>4096bp</t>
  </si>
  <si>
    <t>Carbon fibre</t>
  </si>
  <si>
    <t>8192bp</t>
  </si>
  <si>
    <t>Spider silk</t>
  </si>
  <si>
    <t>Graphene fibre</t>
  </si>
  <si>
    <t>8sp</t>
  </si>
  <si>
    <t>16sp</t>
  </si>
  <si>
    <t>32sp</t>
  </si>
  <si>
    <t>64sp</t>
  </si>
  <si>
    <t>128sp</t>
  </si>
  <si>
    <t>256sp</t>
  </si>
  <si>
    <t>512sp</t>
  </si>
  <si>
    <t>1024sp</t>
  </si>
  <si>
    <t>Carbon nitride</t>
  </si>
  <si>
    <t>Lonsdaleite</t>
  </si>
  <si>
    <t>Bea</t>
  </si>
  <si>
    <t>Lioness</t>
  </si>
  <si>
    <t>Badger</t>
  </si>
  <si>
    <t>Wolverine</t>
  </si>
  <si>
    <t>41sp</t>
  </si>
  <si>
    <t>Buffalo</t>
  </si>
  <si>
    <t>163sp</t>
  </si>
  <si>
    <t>Crocodile</t>
  </si>
  <si>
    <t>200sp</t>
  </si>
  <si>
    <t>655sp</t>
  </si>
  <si>
    <t>Tiger</t>
  </si>
  <si>
    <t>26gp</t>
  </si>
  <si>
    <t>Rhinoceros</t>
  </si>
  <si>
    <t>104gp</t>
  </si>
  <si>
    <t>419gp</t>
  </si>
  <si>
    <t>1677gp</t>
  </si>
  <si>
    <t>1pp</t>
  </si>
  <si>
    <t>10pp</t>
  </si>
  <si>
    <t>100pp</t>
  </si>
  <si>
    <t>1000pp</t>
  </si>
  <si>
    <t>10000pp</t>
  </si>
  <si>
    <t>100000pp</t>
  </si>
  <si>
    <t>Pearl</t>
  </si>
  <si>
    <t>327sp</t>
  </si>
  <si>
    <t>209gp</t>
  </si>
  <si>
    <t>16pp</t>
  </si>
  <si>
    <t>134pp</t>
  </si>
  <si>
    <t>1073pp</t>
  </si>
  <si>
    <t>8589pp</t>
  </si>
  <si>
    <t>68719pp</t>
  </si>
  <si>
    <t>Velvet</t>
  </si>
  <si>
    <t>Qty</t>
  </si>
  <si>
    <t>Bear</t>
  </si>
  <si>
    <t>Head</t>
  </si>
  <si>
    <t>Body</t>
  </si>
  <si>
    <t>Arm</t>
  </si>
  <si>
    <t>Hand</t>
  </si>
  <si>
    <t>Leg</t>
  </si>
  <si>
    <t>Foot</t>
  </si>
  <si>
    <t>Blade</t>
  </si>
  <si>
    <t>Shortsword</t>
  </si>
  <si>
    <t>Longsword</t>
  </si>
  <si>
    <t>Studded</t>
  </si>
  <si>
    <t>Blades</t>
  </si>
  <si>
    <t>Medium pick</t>
  </si>
  <si>
    <t>Only one blunt head possible in a weapon</t>
  </si>
  <si>
    <t>Gain length, gain damage</t>
  </si>
  <si>
    <t>Gain damage, slower</t>
  </si>
  <si>
    <t>Gain damage, gain weight, not slower</t>
  </si>
  <si>
    <t>Hand axe</t>
  </si>
  <si>
    <t>Medium axe</t>
  </si>
  <si>
    <t>Broad axe</t>
  </si>
  <si>
    <t>Giant axe</t>
  </si>
  <si>
    <t>Does not gain damage, slower, long reach</t>
  </si>
  <si>
    <t>Long whip</t>
  </si>
  <si>
    <t>Bull whip</t>
  </si>
  <si>
    <t>Large pick</t>
  </si>
  <si>
    <t>Large axe</t>
  </si>
  <si>
    <t>Large blunt</t>
  </si>
  <si>
    <t>Heads</t>
  </si>
  <si>
    <t>Final attributes</t>
  </si>
  <si>
    <t>Bese</t>
  </si>
  <si>
    <t>APs are not a product of weight. It is a product of thee usage. A hammer or an axe will use the same time. User will tire sooner.</t>
  </si>
  <si>
    <t>High defense bonuses</t>
  </si>
  <si>
    <t>Large shield</t>
  </si>
  <si>
    <t>Medium Shield</t>
  </si>
  <si>
    <t xml:space="preserve">Large shield </t>
  </si>
  <si>
    <t>Academic</t>
  </si>
  <si>
    <t>Intelligence</t>
  </si>
  <si>
    <t>Agility</t>
  </si>
  <si>
    <t>Resilience</t>
  </si>
  <si>
    <t>Lifeforce</t>
  </si>
  <si>
    <t>Willpower</t>
  </si>
  <si>
    <t>Arts and performance</t>
  </si>
  <si>
    <t>Strength</t>
  </si>
  <si>
    <t>Crafts and work</t>
  </si>
  <si>
    <t xml:space="preserve">Engineering </t>
  </si>
  <si>
    <t>Physical</t>
  </si>
  <si>
    <t>Swim</t>
  </si>
  <si>
    <t>Ranger</t>
  </si>
  <si>
    <t>Rogue</t>
  </si>
  <si>
    <t>Warrior</t>
  </si>
  <si>
    <t>Shield use</t>
  </si>
  <si>
    <t>Weapon use, Melee</t>
  </si>
  <si>
    <t>Weapon use, Ranged</t>
  </si>
  <si>
    <t>Movement, coordination, trickery, music.</t>
  </si>
  <si>
    <t>Charm, manipulation, command, acting.</t>
  </si>
  <si>
    <t>Lore, knowledge, crafting.</t>
  </si>
  <si>
    <t>Healing, Nature</t>
  </si>
  <si>
    <t>Logic, analysis, planning.</t>
  </si>
  <si>
    <t>Combine with</t>
  </si>
  <si>
    <t>Endurance</t>
  </si>
  <si>
    <t>Secondary</t>
  </si>
  <si>
    <t>Precision</t>
  </si>
  <si>
    <t>Perception</t>
  </si>
  <si>
    <t>Animal Specialization</t>
  </si>
  <si>
    <t>Animal Mastery</t>
  </si>
  <si>
    <t>Appraising</t>
  </si>
  <si>
    <t>Athletics</t>
  </si>
  <si>
    <t>Deduction</t>
  </si>
  <si>
    <t>Rhetoric</t>
  </si>
  <si>
    <t>Balance, agility, coord</t>
  </si>
  <si>
    <t>Skill</t>
  </si>
  <si>
    <t>Specialization</t>
  </si>
  <si>
    <t>Gymnastics</t>
  </si>
  <si>
    <t>Impersonation</t>
  </si>
  <si>
    <t>Brewing</t>
  </si>
  <si>
    <t>Climbing</t>
  </si>
  <si>
    <t>Detection</t>
  </si>
  <si>
    <t>Swords</t>
  </si>
  <si>
    <t>Sculpture</t>
  </si>
  <si>
    <t>Jumping</t>
  </si>
  <si>
    <t>Parkour</t>
  </si>
  <si>
    <t>Running</t>
  </si>
  <si>
    <t>Mechanics</t>
  </si>
  <si>
    <t>…</t>
  </si>
  <si>
    <t>Memory</t>
  </si>
  <si>
    <t>Logic</t>
  </si>
  <si>
    <t>Juggling</t>
  </si>
  <si>
    <t>Melee weapon</t>
  </si>
  <si>
    <t>Metalworking</t>
  </si>
  <si>
    <t>Negotiation</t>
  </si>
  <si>
    <t>Pick locks</t>
  </si>
  <si>
    <t>Ranged weapons</t>
  </si>
  <si>
    <t>Seamstress</t>
  </si>
  <si>
    <t>Unarmed combat</t>
  </si>
  <si>
    <t>Woodworking</t>
  </si>
  <si>
    <t>Bowyer</t>
  </si>
  <si>
    <t>Furniture</t>
  </si>
  <si>
    <t>Weapon craft</t>
  </si>
  <si>
    <t>Armour craft</t>
  </si>
  <si>
    <t>Concealment</t>
  </si>
  <si>
    <t>Move silently</t>
  </si>
  <si>
    <t>Hide in shadows</t>
  </si>
  <si>
    <t>Hide in plain sight</t>
  </si>
  <si>
    <t>Fluorish</t>
  </si>
  <si>
    <t>Loyalty</t>
  </si>
  <si>
    <t>Passion</t>
  </si>
  <si>
    <t>Beer</t>
  </si>
  <si>
    <t>Social</t>
  </si>
  <si>
    <t>Protocol</t>
  </si>
  <si>
    <t>Dancing</t>
  </si>
  <si>
    <t>Drama</t>
  </si>
  <si>
    <t>Reading Writing</t>
  </si>
  <si>
    <t>Literacy</t>
  </si>
  <si>
    <t>Karate</t>
  </si>
  <si>
    <t>Taekwondo</t>
  </si>
  <si>
    <t>Wrestling</t>
  </si>
  <si>
    <t>Judo</t>
  </si>
  <si>
    <t>Jiujitsu</t>
  </si>
  <si>
    <t>Shoemaking</t>
  </si>
  <si>
    <t>Armourcraft</t>
  </si>
  <si>
    <t>Fast talking</t>
  </si>
  <si>
    <t>Knowledge</t>
  </si>
  <si>
    <t>Haggling</t>
  </si>
  <si>
    <t>Musical instrument</t>
  </si>
  <si>
    <t>Compose</t>
  </si>
  <si>
    <t>Poetry</t>
  </si>
  <si>
    <t>Balance (Tightrope)</t>
  </si>
  <si>
    <t>Each level adds 1 to Stamina</t>
  </si>
  <si>
    <t>Wine</t>
  </si>
  <si>
    <t>Mead</t>
  </si>
  <si>
    <t>Illustration</t>
  </si>
  <si>
    <t>MapMaking</t>
  </si>
  <si>
    <t>Calligraphy</t>
  </si>
  <si>
    <t>Work with stone</t>
  </si>
  <si>
    <t>Works with metals</t>
  </si>
  <si>
    <t>Founder</t>
  </si>
  <si>
    <t>Gunsmith</t>
  </si>
  <si>
    <t>Bladesmith</t>
  </si>
  <si>
    <t>Arrowsmith</t>
  </si>
  <si>
    <t>Bank mason</t>
  </si>
  <si>
    <t>Base stones</t>
  </si>
  <si>
    <t>Fixer mason</t>
  </si>
  <si>
    <t>Fixtures, Tiles</t>
  </si>
  <si>
    <t>Memorial mason</t>
  </si>
  <si>
    <t>Gravestones</t>
  </si>
  <si>
    <t>Stonecutting</t>
  </si>
  <si>
    <t>Notes</t>
  </si>
  <si>
    <t>Mastery</t>
  </si>
  <si>
    <t>Traps</t>
  </si>
  <si>
    <t>Each level adds 1 to health</t>
  </si>
  <si>
    <t>Heraldry</t>
  </si>
  <si>
    <t>Guild</t>
  </si>
  <si>
    <t>Membership</t>
  </si>
  <si>
    <t>How things work, police has this</t>
  </si>
  <si>
    <t>Detectives</t>
  </si>
  <si>
    <t>Invitation only</t>
  </si>
  <si>
    <t>Siege engines</t>
  </si>
  <si>
    <t>Distillation</t>
  </si>
  <si>
    <t>Escapist</t>
  </si>
  <si>
    <t>Escape Artist</t>
  </si>
  <si>
    <t>Dressmaking</t>
  </si>
  <si>
    <t>Geographer</t>
  </si>
  <si>
    <t>Historian</t>
  </si>
  <si>
    <t>Biologist</t>
  </si>
  <si>
    <t>Works with gems</t>
  </si>
  <si>
    <t>Terrain Specialization</t>
  </si>
  <si>
    <t>Potions, alcoholic</t>
  </si>
  <si>
    <t>Knows how to mend people</t>
  </si>
  <si>
    <t>Surgery</t>
  </si>
  <si>
    <t>Race Specialisation</t>
  </si>
  <si>
    <t>Focus</t>
  </si>
  <si>
    <t>Mental</t>
  </si>
  <si>
    <t>Wagoneer</t>
  </si>
  <si>
    <t>Shipwright</t>
  </si>
  <si>
    <t>Hospitality</t>
  </si>
  <si>
    <t>Bartender</t>
  </si>
  <si>
    <t>Guide</t>
  </si>
  <si>
    <t>Storytelling</t>
  </si>
  <si>
    <t>Venom</t>
  </si>
  <si>
    <t>Outdoorman</t>
  </si>
  <si>
    <t>Fishing</t>
  </si>
  <si>
    <t>Husbandry</t>
  </si>
  <si>
    <t>Diplomacy</t>
  </si>
  <si>
    <t>Genealogy</t>
  </si>
  <si>
    <t>Make chair, bridle, reins, etc for horses but can work with any animal given the character has time to study it.</t>
  </si>
  <si>
    <t>Knows how to make shoes, sandals and boots</t>
  </si>
  <si>
    <t>Weapons made of leather. Cudgel, gloves, whips. Also wooden shields.</t>
  </si>
  <si>
    <t>Protective gear made of leather.</t>
  </si>
  <si>
    <t>Tailor</t>
  </si>
  <si>
    <t>Men suits</t>
  </si>
  <si>
    <t>Women dresses</t>
  </si>
  <si>
    <t>Shoes</t>
  </si>
  <si>
    <t xml:space="preserve">Work with cloth. </t>
  </si>
  <si>
    <t>Can repair clothing items. Knows about fabrics.</t>
  </si>
  <si>
    <t>Protective gear made of cloth.</t>
  </si>
  <si>
    <t>Carving</t>
  </si>
  <si>
    <t>Statues using wood</t>
  </si>
  <si>
    <t>Any weapon made of wood, wooden swords, bo sticks, nunchakus. Also wooden shields.</t>
  </si>
  <si>
    <t>Protective geat made of wood.</t>
  </si>
  <si>
    <t>tables, chairs, cabinets</t>
  </si>
  <si>
    <t>Makes bows</t>
  </si>
  <si>
    <t>This skill allows making simple arrows while adventuring without need for reaching a city to reload. For each 5 points in the skill result one arrow is crafted. The GM may give bonuses or penalties depending on the environment (easier to make in a</t>
  </si>
  <si>
    <t>The character is unable to make specialized arrow heads, but if he has any available he may adapt them to the newly built arrows.</t>
  </si>
  <si>
    <t>Camouflage</t>
  </si>
  <si>
    <t>Punch</t>
  </si>
  <si>
    <t>Kick</t>
  </si>
  <si>
    <t>Throw</t>
  </si>
  <si>
    <t>Grapple</t>
  </si>
  <si>
    <t>Each specialization in the same style adds one chained attack when using that style.</t>
  </si>
  <si>
    <t>The player can use any movement but it’s a matter of what the player wants as a style (i.e. boxing has no throws). If a player wants recognition by a school then certain moves are restricted.</t>
  </si>
  <si>
    <t>Style</t>
  </si>
  <si>
    <t>Each specialization in the same weapon adds one chained attack when using that weapon.</t>
  </si>
  <si>
    <t xml:space="preserve">The character knows how to craft and maintain bows and simple arrows (without metal heads). </t>
  </si>
  <si>
    <t>Rope Use</t>
  </si>
  <si>
    <t>Knots</t>
  </si>
  <si>
    <t>Lasso</t>
  </si>
  <si>
    <t>Entangle</t>
  </si>
  <si>
    <t>Parry entangles enemy -5 attack</t>
  </si>
  <si>
    <t>Catch objects from a distance. Each skill point = 1m distance</t>
  </si>
  <si>
    <t>Free from knots or straight jackets</t>
  </si>
  <si>
    <t>Knots for every occasion</t>
  </si>
  <si>
    <t>Jab</t>
  </si>
  <si>
    <t>Round kick</t>
  </si>
  <si>
    <t>Flying kick</t>
  </si>
  <si>
    <t>Straight</t>
  </si>
  <si>
    <t>Uppercut</t>
  </si>
  <si>
    <t>Low to up</t>
  </si>
  <si>
    <t>Restrict movements</t>
  </si>
  <si>
    <t>Quick punch</t>
  </si>
  <si>
    <t>Body slam</t>
  </si>
  <si>
    <t>Head butt</t>
  </si>
  <si>
    <t>Rush with body</t>
  </si>
  <si>
    <t>Elbow</t>
  </si>
  <si>
    <t>Hit with head</t>
  </si>
  <si>
    <t>Knee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</si>
</sst>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Red]\-&quot;$&quot;#,##0"/>
    <numFmt numFmtId="164" formatCode="0.0000"/>
  </numFmts>
  <fonts count="19" x14ac:knownFonts="1">
    <font>
      <sz val="11"/>
      <color theme="1"/>
      <name val="Calibri"/>
      <family val="2"/>
      <scheme val="minor"/>
    </font>
    <font>
      <u/>
      <sz val="11"/>
      <color theme="10"/>
      <name val="Calibri"/>
      <family val="2"/>
      <scheme val="minor"/>
    </font>
    <font>
      <b/>
      <sz val="10"/>
      <color rgb="FF000000"/>
      <name val="Arial"/>
      <family val="2"/>
    </font>
    <font>
      <sz val="10"/>
      <color rgb="FF000000"/>
      <name val="Arial"/>
      <family val="2"/>
    </font>
    <font>
      <sz val="10"/>
      <color rgb="FF0B0080"/>
      <name val="Arial"/>
      <family val="2"/>
    </font>
    <font>
      <sz val="9"/>
      <color theme="1"/>
      <name val="Calibri"/>
      <family val="2"/>
      <scheme val="minor"/>
    </font>
    <font>
      <i/>
      <sz val="9"/>
      <color theme="1"/>
      <name val="Calibri"/>
      <family val="2"/>
      <scheme val="minor"/>
    </font>
    <font>
      <sz val="7"/>
      <color theme="1"/>
      <name val="Calibri"/>
      <family val="2"/>
      <scheme val="minor"/>
    </font>
    <font>
      <sz val="8"/>
      <color theme="1"/>
      <name val="Calibri"/>
      <family val="2"/>
      <scheme val="minor"/>
    </font>
    <font>
      <sz val="8"/>
      <color rgb="FF000000"/>
      <name val="Calibri"/>
      <family val="2"/>
      <scheme val="minor"/>
    </font>
    <font>
      <i/>
      <sz val="8"/>
      <color theme="1"/>
      <name val="Calibri"/>
      <family val="2"/>
      <scheme val="minor"/>
    </font>
    <font>
      <b/>
      <sz val="9"/>
      <color theme="1"/>
      <name val="Calibri"/>
      <family val="2"/>
      <scheme val="minor"/>
    </font>
    <font>
      <b/>
      <sz val="9"/>
      <color indexed="81"/>
      <name val="Tahoma"/>
      <family val="2"/>
    </font>
    <font>
      <b/>
      <sz val="11"/>
      <color theme="1"/>
      <name val="Calibri"/>
      <family val="2"/>
      <scheme val="minor"/>
    </font>
    <font>
      <b/>
      <u/>
      <sz val="11"/>
      <color theme="1"/>
      <name val="Calibri"/>
      <family val="2"/>
      <scheme val="minor"/>
    </font>
    <font>
      <sz val="14"/>
      <color rgb="FF000000"/>
      <name val="Arial"/>
      <family val="2"/>
    </font>
    <font>
      <sz val="10"/>
      <color theme="1"/>
      <name val="Calibri"/>
      <scheme val="minor"/>
    </font>
    <font>
      <sz val="10"/>
      <color rgb="FF000000"/>
      <name val="Calibri"/>
      <scheme val="minor"/>
    </font>
    <font>
      <u/>
      <sz val="11"/>
      <color theme="11"/>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F2F2F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CCFFCC"/>
        <bgColor indexed="64"/>
      </patternFill>
    </fill>
  </fills>
  <borders count="25">
    <border>
      <left/>
      <right/>
      <top/>
      <bottom/>
      <diagonal/>
    </border>
    <border>
      <left style="medium">
        <color rgb="FFAAAAAA"/>
      </left>
      <right style="medium">
        <color rgb="FFAAAAAA"/>
      </right>
      <top style="medium">
        <color rgb="FFAAAAAA"/>
      </top>
      <bottom style="medium">
        <color rgb="FFAAAAAA"/>
      </bottom>
      <diagonal/>
    </border>
    <border>
      <left style="medium">
        <color rgb="FFAAAAAA"/>
      </left>
      <right style="medium">
        <color rgb="FFAAAAAA"/>
      </right>
      <top style="medium">
        <color rgb="FFAAAAAA"/>
      </top>
      <bottom/>
      <diagonal/>
    </border>
    <border>
      <left style="medium">
        <color rgb="FFAAAAAA"/>
      </left>
      <right style="medium">
        <color rgb="FFAAAAAA"/>
      </right>
      <top/>
      <bottom style="medium">
        <color rgb="FFAAAAAA"/>
      </bottom>
      <diagonal/>
    </border>
    <border>
      <left style="medium">
        <color rgb="FFAAAAAA"/>
      </left>
      <right/>
      <top style="medium">
        <color rgb="FFAAAAAA"/>
      </top>
      <bottom style="medium">
        <color rgb="FFAAAAAA"/>
      </bottom>
      <diagonal/>
    </border>
    <border>
      <left/>
      <right/>
      <top style="medium">
        <color rgb="FFAAAAAA"/>
      </top>
      <bottom style="medium">
        <color rgb="FFAAAAAA"/>
      </bottom>
      <diagonal/>
    </border>
    <border>
      <left/>
      <right style="medium">
        <color rgb="FFAAAAAA"/>
      </right>
      <top style="medium">
        <color rgb="FFAAAAAA"/>
      </top>
      <bottom style="medium">
        <color rgb="FFAAAAAA"/>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style="medium">
        <color auto="1"/>
      </left>
      <right/>
      <top/>
      <bottom/>
      <diagonal/>
    </border>
    <border>
      <left/>
      <right/>
      <top/>
      <bottom style="medium">
        <color auto="1"/>
      </bottom>
      <diagonal/>
    </border>
    <border>
      <left style="thin">
        <color auto="1"/>
      </left>
      <right style="thin">
        <color auto="1"/>
      </right>
      <top/>
      <bottom/>
      <diagonal/>
    </border>
    <border>
      <left style="thin">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s>
  <cellStyleXfs count="40">
    <xf numFmtId="0" fontId="0" fillId="0" borderId="0"/>
    <xf numFmtId="0" fontId="1"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cellStyleXfs>
  <cellXfs count="122">
    <xf numFmtId="0" fontId="0" fillId="0" borderId="0" xfId="0"/>
    <xf numFmtId="1" fontId="0" fillId="0" borderId="0" xfId="0" applyNumberFormat="1"/>
    <xf numFmtId="0" fontId="0" fillId="2" borderId="0" xfId="0" applyFill="1"/>
    <xf numFmtId="0" fontId="2" fillId="4" borderId="1" xfId="0" applyFont="1" applyFill="1" applyBorder="1" applyAlignment="1">
      <alignment horizontal="center" vertical="center" wrapText="1"/>
    </xf>
    <xf numFmtId="0" fontId="3" fillId="3" borderId="1" xfId="0" applyFont="1" applyFill="1" applyBorder="1" applyAlignment="1">
      <alignment vertical="center" wrapText="1"/>
    </xf>
    <xf numFmtId="0" fontId="1" fillId="3" borderId="1" xfId="1" applyFill="1" applyBorder="1" applyAlignment="1">
      <alignment vertical="center" wrapText="1"/>
    </xf>
    <xf numFmtId="3" fontId="3" fillId="3" borderId="1" xfId="0" applyNumberFormat="1" applyFont="1" applyFill="1" applyBorder="1" applyAlignment="1">
      <alignment vertical="center" wrapText="1"/>
    </xf>
    <xf numFmtId="0" fontId="4" fillId="3" borderId="1" xfId="0" applyFont="1" applyFill="1" applyBorder="1" applyAlignment="1">
      <alignment vertical="center" wrapText="1"/>
    </xf>
    <xf numFmtId="0" fontId="5" fillId="0" borderId="0" xfId="0" applyFont="1" applyAlignment="1">
      <alignment vertical="center"/>
    </xf>
    <xf numFmtId="0" fontId="6" fillId="0" borderId="0" xfId="0" applyFont="1" applyAlignment="1">
      <alignment vertical="center"/>
    </xf>
    <xf numFmtId="164" fontId="0" fillId="0" borderId="0" xfId="0" applyNumberFormat="1"/>
    <xf numFmtId="2" fontId="0" fillId="0" borderId="0" xfId="0" applyNumberFormat="1"/>
    <xf numFmtId="0" fontId="7" fillId="0" borderId="7" xfId="0" applyFont="1" applyBorder="1" applyAlignment="1">
      <alignment vertical="center" wrapText="1"/>
    </xf>
    <xf numFmtId="0" fontId="7" fillId="0" borderId="8" xfId="0" applyFont="1" applyBorder="1" applyAlignment="1">
      <alignment vertical="center" wrapText="1"/>
    </xf>
    <xf numFmtId="0" fontId="7" fillId="0" borderId="9" xfId="0" applyFont="1" applyBorder="1" applyAlignment="1">
      <alignment vertical="center" wrapText="1"/>
    </xf>
    <xf numFmtId="0" fontId="7" fillId="0" borderId="10" xfId="0" applyFont="1" applyBorder="1" applyAlignment="1">
      <alignment vertical="center" wrapText="1"/>
    </xf>
    <xf numFmtId="0" fontId="0" fillId="0" borderId="10" xfId="0" applyBorder="1"/>
    <xf numFmtId="0" fontId="8" fillId="0" borderId="7" xfId="0" applyFont="1" applyBorder="1" applyAlignment="1">
      <alignment vertical="center" wrapText="1"/>
    </xf>
    <xf numFmtId="0" fontId="8" fillId="0" borderId="8" xfId="0" applyFont="1" applyBorder="1" applyAlignment="1">
      <alignment vertical="center" wrapText="1"/>
    </xf>
    <xf numFmtId="0" fontId="8" fillId="0" borderId="0" xfId="0" applyFont="1"/>
    <xf numFmtId="0" fontId="8" fillId="0" borderId="7" xfId="0" applyFont="1" applyBorder="1" applyAlignment="1">
      <alignment vertical="center"/>
    </xf>
    <xf numFmtId="0" fontId="8" fillId="0" borderId="8" xfId="0" applyFont="1" applyBorder="1" applyAlignment="1">
      <alignment vertical="center"/>
    </xf>
    <xf numFmtId="0" fontId="8" fillId="0" borderId="7" xfId="0" applyFont="1" applyBorder="1" applyAlignment="1">
      <alignment vertical="top"/>
    </xf>
    <xf numFmtId="0" fontId="8" fillId="0" borderId="9" xfId="0" applyFont="1" applyBorder="1" applyAlignment="1">
      <alignment vertical="center" wrapText="1"/>
    </xf>
    <xf numFmtId="0" fontId="8" fillId="0" borderId="10" xfId="0" applyFont="1" applyBorder="1" applyAlignment="1">
      <alignment vertical="center" wrapText="1"/>
    </xf>
    <xf numFmtId="0" fontId="8" fillId="0" borderId="9" xfId="0" applyFont="1" applyBorder="1" applyAlignment="1">
      <alignment vertical="center"/>
    </xf>
    <xf numFmtId="0" fontId="8" fillId="0" borderId="10" xfId="0" applyFont="1" applyBorder="1" applyAlignment="1">
      <alignment vertical="center"/>
    </xf>
    <xf numFmtId="0" fontId="9" fillId="0" borderId="9" xfId="0" applyFont="1" applyBorder="1" applyAlignment="1">
      <alignment vertical="center"/>
    </xf>
    <xf numFmtId="0" fontId="9" fillId="0" borderId="10" xfId="0" applyFont="1" applyBorder="1" applyAlignment="1">
      <alignment vertical="center" wrapText="1"/>
    </xf>
    <xf numFmtId="0" fontId="9" fillId="0" borderId="10" xfId="0" applyFont="1" applyBorder="1" applyAlignment="1">
      <alignment vertical="center"/>
    </xf>
    <xf numFmtId="0" fontId="8" fillId="0" borderId="14" xfId="0" applyFont="1" applyBorder="1" applyAlignment="1">
      <alignment vertical="center" wrapText="1"/>
    </xf>
    <xf numFmtId="0" fontId="8" fillId="0" borderId="14" xfId="0" applyFont="1" applyFill="1" applyBorder="1" applyAlignment="1">
      <alignment vertical="center" wrapText="1"/>
    </xf>
    <xf numFmtId="0" fontId="0" fillId="0" borderId="12" xfId="0" applyBorder="1"/>
    <xf numFmtId="0" fontId="10" fillId="0" borderId="9" xfId="0" applyFont="1" applyBorder="1" applyAlignment="1">
      <alignment vertical="center"/>
    </xf>
    <xf numFmtId="16" fontId="8" fillId="0" borderId="10" xfId="0" applyNumberFormat="1" applyFont="1" applyBorder="1" applyAlignment="1">
      <alignment vertical="center"/>
    </xf>
    <xf numFmtId="0" fontId="10" fillId="0" borderId="0" xfId="0" applyFont="1" applyFill="1" applyBorder="1" applyAlignment="1">
      <alignment vertical="center"/>
    </xf>
    <xf numFmtId="0" fontId="8" fillId="0" borderId="0" xfId="0" applyFont="1" applyBorder="1" applyAlignment="1">
      <alignment vertical="center"/>
    </xf>
    <xf numFmtId="0" fontId="8" fillId="0" borderId="0" xfId="0" applyFont="1" applyBorder="1" applyAlignment="1">
      <alignment vertical="center" wrapText="1"/>
    </xf>
    <xf numFmtId="0" fontId="10" fillId="0" borderId="10" xfId="0" applyFont="1" applyBorder="1" applyAlignment="1">
      <alignment vertical="center" wrapText="1"/>
    </xf>
    <xf numFmtId="0" fontId="10" fillId="0" borderId="10" xfId="0" applyFont="1" applyBorder="1" applyAlignment="1">
      <alignment vertical="center"/>
    </xf>
    <xf numFmtId="16" fontId="8" fillId="0" borderId="0" xfId="0" applyNumberFormat="1" applyFont="1" applyBorder="1" applyAlignment="1">
      <alignment vertical="center"/>
    </xf>
    <xf numFmtId="0" fontId="0" fillId="0" borderId="16" xfId="0" applyBorder="1"/>
    <xf numFmtId="0" fontId="0" fillId="0" borderId="0" xfId="0" applyBorder="1"/>
    <xf numFmtId="0" fontId="0" fillId="0" borderId="15" xfId="0" applyBorder="1"/>
    <xf numFmtId="0" fontId="0" fillId="0" borderId="17" xfId="0" applyBorder="1"/>
    <xf numFmtId="0" fontId="8" fillId="0" borderId="0" xfId="0" applyFont="1" applyFill="1" applyBorder="1" applyAlignment="1">
      <alignment vertical="center"/>
    </xf>
    <xf numFmtId="0" fontId="11" fillId="0" borderId="0" xfId="0" applyFont="1"/>
    <xf numFmtId="0" fontId="11" fillId="0" borderId="0" xfId="0" applyFont="1" applyAlignment="1">
      <alignment vertical="center"/>
    </xf>
    <xf numFmtId="0" fontId="8" fillId="0" borderId="18" xfId="0" applyFont="1" applyFill="1" applyBorder="1" applyAlignment="1">
      <alignment vertical="center" wrapText="1"/>
    </xf>
    <xf numFmtId="0" fontId="8" fillId="0" borderId="19" xfId="0" applyFont="1" applyFill="1" applyBorder="1" applyAlignment="1">
      <alignment vertical="center" wrapText="1"/>
    </xf>
    <xf numFmtId="0" fontId="8" fillId="0" borderId="0" xfId="0" applyFont="1" applyFill="1" applyBorder="1" applyAlignment="1">
      <alignment vertical="center" wrapText="1"/>
    </xf>
    <xf numFmtId="0" fontId="8" fillId="0" borderId="11" xfId="0" applyFont="1" applyFill="1" applyBorder="1" applyAlignment="1">
      <alignment vertical="center"/>
    </xf>
    <xf numFmtId="0" fontId="8" fillId="0" borderId="12" xfId="0" applyFont="1" applyFill="1" applyBorder="1" applyAlignment="1">
      <alignment vertical="center" wrapText="1"/>
    </xf>
    <xf numFmtId="0" fontId="0" fillId="0" borderId="20" xfId="0" applyBorder="1"/>
    <xf numFmtId="0" fontId="0" fillId="0" borderId="21" xfId="0" applyBorder="1"/>
    <xf numFmtId="0" fontId="0" fillId="0" borderId="8" xfId="0" applyBorder="1"/>
    <xf numFmtId="0" fontId="0" fillId="0" borderId="9" xfId="0" applyBorder="1"/>
    <xf numFmtId="0" fontId="0" fillId="0" borderId="11" xfId="0" applyBorder="1"/>
    <xf numFmtId="0" fontId="0" fillId="0" borderId="7" xfId="0" applyBorder="1"/>
    <xf numFmtId="0" fontId="13" fillId="0" borderId="7" xfId="0" applyFont="1" applyBorder="1"/>
    <xf numFmtId="0" fontId="0" fillId="0" borderId="22" xfId="0" applyBorder="1"/>
    <xf numFmtId="0" fontId="0" fillId="0" borderId="23" xfId="0" applyBorder="1"/>
    <xf numFmtId="0" fontId="13" fillId="5" borderId="9" xfId="0" applyFont="1" applyFill="1" applyBorder="1"/>
    <xf numFmtId="0" fontId="0" fillId="6" borderId="0" xfId="0" applyFill="1"/>
    <xf numFmtId="0" fontId="0" fillId="7" borderId="0" xfId="0" applyFill="1"/>
    <xf numFmtId="0" fontId="0" fillId="8" borderId="0" xfId="0" applyFill="1"/>
    <xf numFmtId="0" fontId="0" fillId="0" borderId="13" xfId="0" applyBorder="1" applyAlignment="1">
      <alignment horizontal="center"/>
    </xf>
    <xf numFmtId="0" fontId="0" fillId="0" borderId="11"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5" borderId="7" xfId="0" applyFill="1"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20" xfId="0" applyFill="1" applyBorder="1"/>
    <xf numFmtId="0" fontId="0" fillId="0" borderId="8" xfId="0" applyBorder="1" applyAlignment="1">
      <alignment horizontal="left"/>
    </xf>
    <xf numFmtId="0" fontId="13" fillId="0" borderId="13" xfId="0" applyFont="1" applyBorder="1" applyAlignment="1">
      <alignment horizontal="center"/>
    </xf>
    <xf numFmtId="0" fontId="14" fillId="0" borderId="13" xfId="0" applyFont="1" applyBorder="1" applyAlignment="1">
      <alignment horizontal="center"/>
    </xf>
    <xf numFmtId="0" fontId="13" fillId="0" borderId="9" xfId="0" applyFont="1" applyBorder="1" applyAlignment="1">
      <alignment horizontal="center"/>
    </xf>
    <xf numFmtId="0" fontId="14" fillId="0" borderId="9" xfId="0" applyFont="1" applyBorder="1" applyAlignment="1">
      <alignment horizontal="center"/>
    </xf>
    <xf numFmtId="0" fontId="13" fillId="5" borderId="11" xfId="0" applyFont="1" applyFill="1" applyBorder="1" applyAlignment="1">
      <alignment horizontal="center"/>
    </xf>
    <xf numFmtId="0" fontId="14" fillId="5" borderId="11" xfId="0" applyFont="1" applyFill="1" applyBorder="1" applyAlignment="1">
      <alignment horizontal="center"/>
    </xf>
    <xf numFmtId="0" fontId="13" fillId="5" borderId="9" xfId="0" applyFont="1" applyFill="1" applyBorder="1" applyAlignment="1">
      <alignment horizontal="center"/>
    </xf>
    <xf numFmtId="0" fontId="14" fillId="5" borderId="9" xfId="0" applyFont="1" applyFill="1" applyBorder="1" applyAlignment="1">
      <alignment horizontal="center"/>
    </xf>
    <xf numFmtId="0" fontId="0" fillId="0" borderId="0" xfId="0" applyAlignment="1">
      <alignment horizontal="center"/>
    </xf>
    <xf numFmtId="0" fontId="13" fillId="5" borderId="7" xfId="0" applyFont="1" applyFill="1" applyBorder="1" applyAlignment="1">
      <alignment horizontal="center"/>
    </xf>
    <xf numFmtId="0" fontId="14" fillId="5" borderId="7" xfId="0" applyFont="1" applyFill="1" applyBorder="1" applyAlignment="1">
      <alignment horizontal="center"/>
    </xf>
    <xf numFmtId="0" fontId="0" fillId="5" borderId="11" xfId="0" applyFill="1" applyBorder="1" applyAlignment="1">
      <alignment horizontal="center"/>
    </xf>
    <xf numFmtId="0" fontId="0" fillId="5" borderId="9" xfId="0" applyFill="1" applyBorder="1" applyAlignment="1">
      <alignment horizontal="center"/>
    </xf>
    <xf numFmtId="6" fontId="0" fillId="0" borderId="0" xfId="0" applyNumberFormat="1"/>
    <xf numFmtId="0" fontId="0" fillId="0" borderId="0" xfId="0" quotePrefix="1"/>
    <xf numFmtId="16" fontId="0" fillId="0" borderId="0" xfId="0" applyNumberFormat="1"/>
    <xf numFmtId="0" fontId="2" fillId="0" borderId="0" xfId="0" applyFont="1"/>
    <xf numFmtId="0" fontId="15" fillId="0" borderId="0" xfId="0" applyFont="1"/>
    <xf numFmtId="0" fontId="16" fillId="0" borderId="0" xfId="0" applyFont="1" applyBorder="1" applyAlignment="1">
      <alignment vertical="center"/>
    </xf>
    <xf numFmtId="0" fontId="16" fillId="0" borderId="0" xfId="0" applyFont="1" applyBorder="1" applyAlignment="1">
      <alignment vertical="center" wrapText="1"/>
    </xf>
    <xf numFmtId="0" fontId="16" fillId="0" borderId="0" xfId="0" applyFont="1" applyBorder="1" applyAlignment="1">
      <alignment horizontal="right" vertical="center" wrapText="1"/>
    </xf>
    <xf numFmtId="0" fontId="17" fillId="0" borderId="0" xfId="0" applyFont="1" applyBorder="1" applyAlignment="1">
      <alignment vertical="center"/>
    </xf>
    <xf numFmtId="0" fontId="17" fillId="0" borderId="0" xfId="0" applyFont="1" applyBorder="1" applyAlignment="1">
      <alignment vertical="center" wrapText="1"/>
    </xf>
    <xf numFmtId="0" fontId="16" fillId="0" borderId="0" xfId="0" applyFont="1" applyBorder="1" applyAlignment="1">
      <alignment horizontal="left" vertical="center" wrapText="1"/>
    </xf>
    <xf numFmtId="0" fontId="0" fillId="9" borderId="0" xfId="0" applyFill="1"/>
    <xf numFmtId="0" fontId="0" fillId="0" borderId="0" xfId="0" applyFill="1"/>
    <xf numFmtId="0" fontId="2" fillId="4" borderId="2"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1" fillId="4" borderId="4" xfId="1" applyFill="1" applyBorder="1" applyAlignment="1">
      <alignment horizontal="center" vertical="center" wrapText="1"/>
    </xf>
    <xf numFmtId="0" fontId="1" fillId="4" borderId="5" xfId="1" applyFill="1" applyBorder="1" applyAlignment="1">
      <alignment horizontal="center" vertical="center" wrapText="1"/>
    </xf>
    <xf numFmtId="0" fontId="1" fillId="4" borderId="6" xfId="1" applyFill="1" applyBorder="1" applyAlignment="1">
      <alignment horizontal="center" vertical="center" wrapText="1"/>
    </xf>
    <xf numFmtId="0" fontId="1" fillId="4" borderId="2" xfId="1" applyFill="1" applyBorder="1" applyAlignment="1">
      <alignment horizontal="center" vertical="center" wrapText="1"/>
    </xf>
    <xf numFmtId="0" fontId="1" fillId="4" borderId="3" xfId="1" applyFill="1" applyBorder="1" applyAlignment="1">
      <alignment horizontal="center" vertical="center" wrapText="1"/>
    </xf>
    <xf numFmtId="0" fontId="9" fillId="0" borderId="13" xfId="0" applyFont="1" applyBorder="1" applyAlignment="1">
      <alignment vertical="center"/>
    </xf>
    <xf numFmtId="0" fontId="9" fillId="0" borderId="9" xfId="0" applyFont="1" applyBorder="1" applyAlignment="1">
      <alignment vertical="center"/>
    </xf>
    <xf numFmtId="0" fontId="9" fillId="0" borderId="13" xfId="0" applyFont="1" applyBorder="1" applyAlignment="1">
      <alignment vertical="center" wrapText="1"/>
    </xf>
    <xf numFmtId="0" fontId="9" fillId="0" borderId="9" xfId="0" applyFont="1" applyBorder="1" applyAlignment="1">
      <alignment vertical="center" wrapText="1"/>
    </xf>
  </cellXfs>
  <cellStyles count="40">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1" Type="http://schemas.openxmlformats.org/officeDocument/2006/relationships/hyperlink" Target="http://en.wikipedia.org/wiki/5.56x45mm_NATO" TargetMode="External"/><Relationship Id="rId12" Type="http://schemas.openxmlformats.org/officeDocument/2006/relationships/hyperlink" Target="http://en.wikipedia.org/wiki/Railgun" TargetMode="External"/><Relationship Id="rId13" Type="http://schemas.openxmlformats.org/officeDocument/2006/relationships/hyperlink" Target="http://en.wikipedia.org/wiki/Light_gas_gun" TargetMode="External"/><Relationship Id="rId14" Type="http://schemas.openxmlformats.org/officeDocument/2006/relationships/hyperlink" Target="http://en.wikipedia.org/wiki/Low_earth_orbit" TargetMode="External"/><Relationship Id="rId15" Type="http://schemas.openxmlformats.org/officeDocument/2006/relationships/hyperlink" Target="http://en.wikipedia.org/wiki/Exoatmospheric_Kill_Vehicle" TargetMode="External"/><Relationship Id="rId1" Type="http://schemas.openxmlformats.org/officeDocument/2006/relationships/hyperlink" Target="http://en.wikipedia.org/wiki/Speed" TargetMode="External"/><Relationship Id="rId2" Type="http://schemas.openxmlformats.org/officeDocument/2006/relationships/hyperlink" Target="http://en.wikipedia.org/wiki/Specific_kinetic_energy" TargetMode="External"/><Relationship Id="rId3" Type="http://schemas.openxmlformats.org/officeDocument/2006/relationships/hyperlink" Target="http://en.wikipedia.org/wiki/Club_(weapon)" TargetMode="External"/><Relationship Id="rId4" Type="http://schemas.openxmlformats.org/officeDocument/2006/relationships/hyperlink" Target="http://en.wikipedia.org/wiki/Atlatl" TargetMode="External"/><Relationship Id="rId5" Type="http://schemas.openxmlformats.org/officeDocument/2006/relationships/hyperlink" Target="http://en.wikipedia.org/wiki/Crossbow" TargetMode="External"/><Relationship Id="rId6" Type="http://schemas.openxmlformats.org/officeDocument/2006/relationships/hyperlink" Target="http://en.wikipedia.org/wiki/Paintball" TargetMode="External"/><Relationship Id="rId7" Type="http://schemas.openxmlformats.org/officeDocument/2006/relationships/hyperlink" Target="http://en.wikipedia.org/wiki/Crossbow" TargetMode="External"/><Relationship Id="rId8" Type="http://schemas.openxmlformats.org/officeDocument/2006/relationships/hyperlink" Target="http://en.wikipedia.org/wiki/Rifle" TargetMode="External"/><Relationship Id="rId9" Type="http://schemas.openxmlformats.org/officeDocument/2006/relationships/hyperlink" Target="http://en.wikipedia.org/wiki/Air_gun" TargetMode="External"/><Relationship Id="rId10" Type="http://schemas.openxmlformats.org/officeDocument/2006/relationships/hyperlink" Target="http://en.wikipedia.org/wiki/8.8_cm_KwK_36"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E96"/>
  <sheetViews>
    <sheetView topLeftCell="A36" zoomScale="90" zoomScaleNormal="90" zoomScalePageLayoutView="90" workbookViewId="0">
      <selection activeCell="P57" sqref="P57"/>
    </sheetView>
  </sheetViews>
  <sheetFormatPr baseColWidth="10" defaultColWidth="8.83203125" defaultRowHeight="15" x14ac:dyDescent="0.2"/>
  <cols>
    <col min="11" max="11" width="14.6640625" customWidth="1"/>
    <col min="12" max="12" width="13.5" customWidth="1"/>
    <col min="15" max="15" width="13.5" customWidth="1"/>
    <col min="18" max="18" width="11.1640625" bestFit="1" customWidth="1"/>
    <col min="20" max="20" width="12.5" customWidth="1"/>
    <col min="24" max="24" width="10.5" customWidth="1"/>
    <col min="26" max="26" width="9.1640625" customWidth="1"/>
  </cols>
  <sheetData>
    <row r="1" spans="1:29" x14ac:dyDescent="0.2">
      <c r="A1" t="s">
        <v>0</v>
      </c>
      <c r="B1" t="s">
        <v>5</v>
      </c>
      <c r="C1" t="s">
        <v>2</v>
      </c>
      <c r="D1" t="s">
        <v>3</v>
      </c>
      <c r="E1" t="s">
        <v>4</v>
      </c>
      <c r="F1" t="s">
        <v>1</v>
      </c>
      <c r="L1" t="s">
        <v>0</v>
      </c>
      <c r="M1" t="s">
        <v>9</v>
      </c>
      <c r="P1">
        <v>16</v>
      </c>
      <c r="Q1" t="s">
        <v>755</v>
      </c>
      <c r="R1" t="s">
        <v>756</v>
      </c>
      <c r="S1" t="s">
        <v>757</v>
      </c>
      <c r="T1" t="s">
        <v>758</v>
      </c>
      <c r="U1" t="s">
        <v>14</v>
      </c>
      <c r="W1" t="s">
        <v>759</v>
      </c>
      <c r="X1" t="s">
        <v>760</v>
      </c>
      <c r="Y1" t="s">
        <v>761</v>
      </c>
      <c r="Z1" t="s">
        <v>762</v>
      </c>
      <c r="AB1" t="s">
        <v>763</v>
      </c>
      <c r="AC1" t="s">
        <v>764</v>
      </c>
    </row>
    <row r="2" spans="1:29" x14ac:dyDescent="0.2">
      <c r="A2">
        <v>1</v>
      </c>
      <c r="B2">
        <f>A2*A2</f>
        <v>1</v>
      </c>
      <c r="C2">
        <f t="shared" ref="C2:C33" si="0">A2*A2*2</f>
        <v>2</v>
      </c>
      <c r="D2">
        <f>A2*A2*4</f>
        <v>4</v>
      </c>
      <c r="E2">
        <f>A2*A2*8</f>
        <v>8</v>
      </c>
      <c r="F2">
        <f>A2*A2*16</f>
        <v>16</v>
      </c>
      <c r="G2" t="s">
        <v>6</v>
      </c>
      <c r="L2">
        <v>1</v>
      </c>
      <c r="M2">
        <f>L2*L2</f>
        <v>1</v>
      </c>
      <c r="P2">
        <f>L2*POWER(2,$P$1)</f>
        <v>65536</v>
      </c>
      <c r="Q2">
        <f>P2/7</f>
        <v>9362.2857142857138</v>
      </c>
      <c r="R2">
        <f>Q2/24</f>
        <v>390.09523809523807</v>
      </c>
      <c r="S2">
        <f t="shared" ref="S2:T20" si="1">R2/60</f>
        <v>6.5015873015873016</v>
      </c>
      <c r="T2">
        <f t="shared" si="1"/>
        <v>0.10835978835978836</v>
      </c>
      <c r="U2">
        <f t="shared" ref="U2:U23" si="2">M2/4</f>
        <v>0.25</v>
      </c>
      <c r="W2">
        <f>M2/P2</f>
        <v>1.52587890625E-5</v>
      </c>
      <c r="X2">
        <f>W2*7</f>
        <v>1.068115234375E-4</v>
      </c>
      <c r="Y2">
        <f>X2*24</f>
        <v>2.5634765625E-3</v>
      </c>
      <c r="Z2">
        <f>Y2*60</f>
        <v>0.15380859375</v>
      </c>
      <c r="AB2">
        <f>S2/10</f>
        <v>0.65015873015873016</v>
      </c>
      <c r="AC2">
        <f>AB2/10</f>
        <v>6.5015873015873013E-2</v>
      </c>
    </row>
    <row r="3" spans="1:29" x14ac:dyDescent="0.2">
      <c r="A3">
        <v>2</v>
      </c>
      <c r="B3">
        <f t="shared" ref="B3:B52" si="3">A3*A3</f>
        <v>4</v>
      </c>
      <c r="C3">
        <f t="shared" si="0"/>
        <v>8</v>
      </c>
      <c r="D3">
        <f t="shared" ref="D3:D52" si="4">A3*A3*4</f>
        <v>16</v>
      </c>
      <c r="E3">
        <f t="shared" ref="E3:E52" si="5">A3*A3*8</f>
        <v>32</v>
      </c>
      <c r="F3">
        <f t="shared" ref="F3:F52" si="6">A3*A3*16</f>
        <v>64</v>
      </c>
      <c r="G3" t="s">
        <v>20</v>
      </c>
      <c r="L3">
        <v>2</v>
      </c>
      <c r="M3">
        <f t="shared" ref="M3:M23" si="7">L3*L3</f>
        <v>4</v>
      </c>
      <c r="P3">
        <f t="shared" ref="P3:P23" si="8">L3*POWER(2,$P$1)</f>
        <v>131072</v>
      </c>
      <c r="Q3">
        <f t="shared" ref="Q3:Q23" si="9">P3/7</f>
        <v>18724.571428571428</v>
      </c>
      <c r="R3">
        <f t="shared" ref="R3:R23" si="10">Q3/24</f>
        <v>780.19047619047615</v>
      </c>
      <c r="S3">
        <f t="shared" si="1"/>
        <v>13.003174603174603</v>
      </c>
      <c r="T3">
        <f t="shared" si="1"/>
        <v>0.21671957671957673</v>
      </c>
      <c r="U3">
        <f t="shared" si="2"/>
        <v>1</v>
      </c>
      <c r="W3">
        <f t="shared" ref="W3:W23" si="11">M3/P3</f>
        <v>3.0517578125E-5</v>
      </c>
      <c r="X3">
        <f t="shared" ref="X3:X23" si="12">W3*7</f>
        <v>2.13623046875E-4</v>
      </c>
      <c r="Y3">
        <f t="shared" ref="Y3:Y23" si="13">X3*24</f>
        <v>5.126953125E-3</v>
      </c>
      <c r="Z3">
        <f t="shared" ref="Z3:Z23" si="14">Y3*60</f>
        <v>0.3076171875</v>
      </c>
      <c r="AB3">
        <f t="shared" ref="AB3:AB23" si="15">S3/10</f>
        <v>1.3003174603174603</v>
      </c>
      <c r="AC3">
        <f t="shared" ref="AC3:AC23" si="16">AB3/10</f>
        <v>0.13003174603174603</v>
      </c>
    </row>
    <row r="4" spans="1:29" x14ac:dyDescent="0.2">
      <c r="A4">
        <v>3</v>
      </c>
      <c r="B4">
        <f t="shared" si="3"/>
        <v>9</v>
      </c>
      <c r="C4">
        <f t="shared" si="0"/>
        <v>18</v>
      </c>
      <c r="D4">
        <f t="shared" si="4"/>
        <v>36</v>
      </c>
      <c r="E4">
        <f t="shared" si="5"/>
        <v>72</v>
      </c>
      <c r="F4">
        <f t="shared" si="6"/>
        <v>144</v>
      </c>
      <c r="G4" t="s">
        <v>21</v>
      </c>
      <c r="L4">
        <v>3</v>
      </c>
      <c r="M4">
        <f t="shared" si="7"/>
        <v>9</v>
      </c>
      <c r="P4">
        <f t="shared" si="8"/>
        <v>196608</v>
      </c>
      <c r="Q4">
        <f t="shared" si="9"/>
        <v>28086.857142857141</v>
      </c>
      <c r="R4">
        <f t="shared" si="10"/>
        <v>1170.2857142857142</v>
      </c>
      <c r="S4">
        <f t="shared" si="1"/>
        <v>19.504761904761903</v>
      </c>
      <c r="T4">
        <f t="shared" si="1"/>
        <v>0.32507936507936502</v>
      </c>
      <c r="U4">
        <f t="shared" si="2"/>
        <v>2.25</v>
      </c>
      <c r="W4">
        <f t="shared" si="11"/>
        <v>4.57763671875E-5</v>
      </c>
      <c r="X4">
        <f t="shared" si="12"/>
        <v>3.204345703125E-4</v>
      </c>
      <c r="Y4">
        <f t="shared" si="13"/>
        <v>7.6904296875E-3</v>
      </c>
      <c r="Z4">
        <f t="shared" si="14"/>
        <v>0.46142578125</v>
      </c>
      <c r="AB4">
        <f t="shared" si="15"/>
        <v>1.9504761904761903</v>
      </c>
      <c r="AC4">
        <f t="shared" si="16"/>
        <v>0.19504761904761903</v>
      </c>
    </row>
    <row r="5" spans="1:29" x14ac:dyDescent="0.2">
      <c r="A5" s="2">
        <v>4</v>
      </c>
      <c r="B5">
        <f t="shared" si="3"/>
        <v>16</v>
      </c>
      <c r="C5">
        <f t="shared" si="0"/>
        <v>32</v>
      </c>
      <c r="D5">
        <f t="shared" si="4"/>
        <v>64</v>
      </c>
      <c r="E5">
        <f t="shared" si="5"/>
        <v>128</v>
      </c>
      <c r="F5">
        <f t="shared" si="6"/>
        <v>256</v>
      </c>
      <c r="G5" t="s">
        <v>22</v>
      </c>
      <c r="L5" s="2">
        <v>4</v>
      </c>
      <c r="M5">
        <f t="shared" si="7"/>
        <v>16</v>
      </c>
      <c r="P5">
        <f t="shared" si="8"/>
        <v>262144</v>
      </c>
      <c r="Q5">
        <f t="shared" si="9"/>
        <v>37449.142857142855</v>
      </c>
      <c r="R5">
        <f t="shared" si="10"/>
        <v>1560.3809523809523</v>
      </c>
      <c r="S5">
        <f t="shared" si="1"/>
        <v>26.006349206349206</v>
      </c>
      <c r="T5">
        <f t="shared" si="1"/>
        <v>0.43343915343915346</v>
      </c>
      <c r="U5">
        <f t="shared" si="2"/>
        <v>4</v>
      </c>
      <c r="W5">
        <f t="shared" si="11"/>
        <v>6.103515625E-5</v>
      </c>
      <c r="X5">
        <f t="shared" si="12"/>
        <v>4.2724609375E-4</v>
      </c>
      <c r="Y5">
        <f t="shared" si="13"/>
        <v>1.025390625E-2</v>
      </c>
      <c r="Z5">
        <f t="shared" si="14"/>
        <v>0.615234375</v>
      </c>
      <c r="AB5">
        <f t="shared" si="15"/>
        <v>2.6006349206349206</v>
      </c>
      <c r="AC5">
        <f t="shared" si="16"/>
        <v>0.26006349206349205</v>
      </c>
    </row>
    <row r="6" spans="1:29" x14ac:dyDescent="0.2">
      <c r="A6">
        <v>5</v>
      </c>
      <c r="B6">
        <f t="shared" si="3"/>
        <v>25</v>
      </c>
      <c r="C6">
        <f t="shared" si="0"/>
        <v>50</v>
      </c>
      <c r="D6">
        <f t="shared" si="4"/>
        <v>100</v>
      </c>
      <c r="E6">
        <f t="shared" si="5"/>
        <v>200</v>
      </c>
      <c r="F6">
        <f t="shared" si="6"/>
        <v>400</v>
      </c>
      <c r="G6" t="s">
        <v>7</v>
      </c>
      <c r="L6">
        <v>5</v>
      </c>
      <c r="M6">
        <f t="shared" si="7"/>
        <v>25</v>
      </c>
      <c r="P6">
        <f t="shared" si="8"/>
        <v>327680</v>
      </c>
      <c r="Q6">
        <f t="shared" si="9"/>
        <v>46811.428571428572</v>
      </c>
      <c r="R6">
        <f t="shared" si="10"/>
        <v>1950.4761904761906</v>
      </c>
      <c r="S6">
        <f t="shared" si="1"/>
        <v>32.507936507936513</v>
      </c>
      <c r="T6">
        <f t="shared" si="1"/>
        <v>0.54179894179894184</v>
      </c>
      <c r="U6">
        <f t="shared" si="2"/>
        <v>6.25</v>
      </c>
      <c r="W6">
        <f t="shared" si="11"/>
        <v>7.62939453125E-5</v>
      </c>
      <c r="X6">
        <f t="shared" si="12"/>
        <v>5.340576171875E-4</v>
      </c>
      <c r="Y6">
        <f t="shared" si="13"/>
        <v>1.28173828125E-2</v>
      </c>
      <c r="Z6">
        <f t="shared" si="14"/>
        <v>0.76904296875</v>
      </c>
      <c r="AB6">
        <f t="shared" si="15"/>
        <v>3.2507936507936512</v>
      </c>
      <c r="AC6">
        <f t="shared" si="16"/>
        <v>0.32507936507936513</v>
      </c>
    </row>
    <row r="7" spans="1:29" x14ac:dyDescent="0.2">
      <c r="A7" s="2">
        <v>6</v>
      </c>
      <c r="B7">
        <f t="shared" si="3"/>
        <v>36</v>
      </c>
      <c r="C7" s="2">
        <f t="shared" si="0"/>
        <v>72</v>
      </c>
      <c r="D7" s="2">
        <f t="shared" si="4"/>
        <v>144</v>
      </c>
      <c r="E7" s="2">
        <f t="shared" si="5"/>
        <v>288</v>
      </c>
      <c r="F7" s="2">
        <f t="shared" si="6"/>
        <v>576</v>
      </c>
      <c r="G7" t="s">
        <v>8</v>
      </c>
      <c r="L7" s="2">
        <v>6</v>
      </c>
      <c r="M7" s="2">
        <f t="shared" si="7"/>
        <v>36</v>
      </c>
      <c r="N7" s="2"/>
      <c r="O7" s="2"/>
      <c r="P7" s="2">
        <f t="shared" si="8"/>
        <v>393216</v>
      </c>
      <c r="Q7" s="2">
        <f t="shared" si="9"/>
        <v>56173.714285714283</v>
      </c>
      <c r="R7" s="2">
        <f t="shared" si="10"/>
        <v>2340.5714285714284</v>
      </c>
      <c r="S7" s="2">
        <f t="shared" si="1"/>
        <v>39.009523809523806</v>
      </c>
      <c r="T7" s="2">
        <f t="shared" si="1"/>
        <v>0.65015873015873005</v>
      </c>
      <c r="U7" s="2">
        <f t="shared" si="2"/>
        <v>9</v>
      </c>
      <c r="V7" s="2"/>
      <c r="W7" s="2">
        <f t="shared" si="11"/>
        <v>9.1552734375E-5</v>
      </c>
      <c r="X7" s="2">
        <f t="shared" si="12"/>
        <v>6.40869140625E-4</v>
      </c>
      <c r="Y7">
        <f t="shared" si="13"/>
        <v>1.5380859375E-2</v>
      </c>
      <c r="Z7">
        <f t="shared" si="14"/>
        <v>0.9228515625</v>
      </c>
      <c r="AB7">
        <f t="shared" si="15"/>
        <v>3.9009523809523805</v>
      </c>
      <c r="AC7">
        <f t="shared" si="16"/>
        <v>0.39009523809523805</v>
      </c>
    </row>
    <row r="8" spans="1:29" x14ac:dyDescent="0.2">
      <c r="A8">
        <v>7</v>
      </c>
      <c r="B8">
        <f t="shared" si="3"/>
        <v>49</v>
      </c>
      <c r="C8">
        <f t="shared" si="0"/>
        <v>98</v>
      </c>
      <c r="D8">
        <f t="shared" si="4"/>
        <v>196</v>
      </c>
      <c r="E8">
        <f t="shared" si="5"/>
        <v>392</v>
      </c>
      <c r="F8">
        <f t="shared" si="6"/>
        <v>784</v>
      </c>
      <c r="L8">
        <v>7</v>
      </c>
      <c r="M8">
        <f t="shared" si="7"/>
        <v>49</v>
      </c>
      <c r="P8">
        <f t="shared" si="8"/>
        <v>458752</v>
      </c>
      <c r="Q8">
        <f t="shared" si="9"/>
        <v>65536</v>
      </c>
      <c r="R8">
        <f t="shared" si="10"/>
        <v>2730.6666666666665</v>
      </c>
      <c r="S8">
        <f t="shared" si="1"/>
        <v>45.511111111111106</v>
      </c>
      <c r="T8">
        <f t="shared" si="1"/>
        <v>0.75851851851851848</v>
      </c>
      <c r="U8">
        <f t="shared" si="2"/>
        <v>12.25</v>
      </c>
      <c r="W8">
        <f t="shared" si="11"/>
        <v>1.068115234375E-4</v>
      </c>
      <c r="X8">
        <f t="shared" si="12"/>
        <v>7.476806640625E-4</v>
      </c>
      <c r="Y8">
        <f t="shared" si="13"/>
        <v>1.79443359375E-2</v>
      </c>
      <c r="Z8">
        <f t="shared" si="14"/>
        <v>1.07666015625</v>
      </c>
      <c r="AB8">
        <f t="shared" si="15"/>
        <v>4.5511111111111102</v>
      </c>
      <c r="AC8">
        <f t="shared" si="16"/>
        <v>0.45511111111111102</v>
      </c>
    </row>
    <row r="9" spans="1:29" x14ac:dyDescent="0.2">
      <c r="A9">
        <v>8</v>
      </c>
      <c r="B9">
        <f t="shared" si="3"/>
        <v>64</v>
      </c>
      <c r="C9">
        <f t="shared" si="0"/>
        <v>128</v>
      </c>
      <c r="D9">
        <f t="shared" si="4"/>
        <v>256</v>
      </c>
      <c r="E9">
        <f t="shared" si="5"/>
        <v>512</v>
      </c>
      <c r="F9">
        <f t="shared" si="6"/>
        <v>1024</v>
      </c>
      <c r="L9">
        <v>8</v>
      </c>
      <c r="M9">
        <f t="shared" si="7"/>
        <v>64</v>
      </c>
      <c r="P9">
        <f t="shared" si="8"/>
        <v>524288</v>
      </c>
      <c r="Q9">
        <f t="shared" si="9"/>
        <v>74898.28571428571</v>
      </c>
      <c r="R9">
        <f t="shared" si="10"/>
        <v>3120.7619047619046</v>
      </c>
      <c r="S9">
        <f t="shared" si="1"/>
        <v>52.012698412698413</v>
      </c>
      <c r="T9">
        <f t="shared" si="1"/>
        <v>0.86687830687830691</v>
      </c>
      <c r="U9">
        <f t="shared" si="2"/>
        <v>16</v>
      </c>
      <c r="W9">
        <f t="shared" si="11"/>
        <v>1.220703125E-4</v>
      </c>
      <c r="X9">
        <f t="shared" si="12"/>
        <v>8.544921875E-4</v>
      </c>
      <c r="Y9">
        <f t="shared" si="13"/>
        <v>2.05078125E-2</v>
      </c>
      <c r="Z9">
        <f t="shared" si="14"/>
        <v>1.23046875</v>
      </c>
      <c r="AB9">
        <f t="shared" si="15"/>
        <v>5.2012698412698413</v>
      </c>
      <c r="AC9">
        <f t="shared" si="16"/>
        <v>0.5201269841269841</v>
      </c>
    </row>
    <row r="10" spans="1:29" x14ac:dyDescent="0.2">
      <c r="A10">
        <v>9</v>
      </c>
      <c r="B10">
        <f t="shared" si="3"/>
        <v>81</v>
      </c>
      <c r="C10">
        <f t="shared" si="0"/>
        <v>162</v>
      </c>
      <c r="D10">
        <f t="shared" si="4"/>
        <v>324</v>
      </c>
      <c r="E10">
        <f t="shared" si="5"/>
        <v>648</v>
      </c>
      <c r="F10">
        <f t="shared" si="6"/>
        <v>1296</v>
      </c>
      <c r="L10">
        <v>9</v>
      </c>
      <c r="M10">
        <f t="shared" si="7"/>
        <v>81</v>
      </c>
      <c r="P10">
        <f t="shared" si="8"/>
        <v>589824</v>
      </c>
      <c r="Q10">
        <f t="shared" si="9"/>
        <v>84260.571428571435</v>
      </c>
      <c r="R10">
        <f t="shared" si="10"/>
        <v>3510.8571428571431</v>
      </c>
      <c r="S10">
        <f t="shared" si="1"/>
        <v>58.51428571428572</v>
      </c>
      <c r="T10">
        <f t="shared" si="1"/>
        <v>0.97523809523809535</v>
      </c>
      <c r="U10">
        <f t="shared" si="2"/>
        <v>20.25</v>
      </c>
      <c r="W10">
        <f t="shared" si="11"/>
        <v>1.373291015625E-4</v>
      </c>
      <c r="X10">
        <f t="shared" si="12"/>
        <v>9.613037109375E-4</v>
      </c>
      <c r="Y10">
        <f t="shared" si="13"/>
        <v>2.30712890625E-2</v>
      </c>
      <c r="Z10">
        <f t="shared" si="14"/>
        <v>1.38427734375</v>
      </c>
      <c r="AB10">
        <f t="shared" si="15"/>
        <v>5.8514285714285723</v>
      </c>
      <c r="AC10">
        <f t="shared" si="16"/>
        <v>0.58514285714285719</v>
      </c>
    </row>
    <row r="11" spans="1:29" x14ac:dyDescent="0.2">
      <c r="A11">
        <v>10</v>
      </c>
      <c r="B11">
        <f t="shared" si="3"/>
        <v>100</v>
      </c>
      <c r="C11">
        <f t="shared" si="0"/>
        <v>200</v>
      </c>
      <c r="D11">
        <f t="shared" si="4"/>
        <v>400</v>
      </c>
      <c r="E11">
        <f t="shared" si="5"/>
        <v>800</v>
      </c>
      <c r="F11">
        <f t="shared" si="6"/>
        <v>1600</v>
      </c>
      <c r="L11">
        <v>10</v>
      </c>
      <c r="M11">
        <f t="shared" si="7"/>
        <v>100</v>
      </c>
      <c r="P11">
        <f t="shared" si="8"/>
        <v>655360</v>
      </c>
      <c r="Q11">
        <f t="shared" si="9"/>
        <v>93622.857142857145</v>
      </c>
      <c r="R11">
        <f t="shared" si="10"/>
        <v>3900.9523809523812</v>
      </c>
      <c r="S11">
        <f t="shared" si="1"/>
        <v>65.015873015873026</v>
      </c>
      <c r="T11">
        <f t="shared" si="1"/>
        <v>1.0835978835978837</v>
      </c>
      <c r="U11">
        <f t="shared" si="2"/>
        <v>25</v>
      </c>
      <c r="W11">
        <f t="shared" si="11"/>
        <v>1.52587890625E-4</v>
      </c>
      <c r="X11">
        <f t="shared" si="12"/>
        <v>1.068115234375E-3</v>
      </c>
      <c r="Y11">
        <f t="shared" si="13"/>
        <v>2.5634765625E-2</v>
      </c>
      <c r="Z11">
        <f t="shared" si="14"/>
        <v>1.5380859375</v>
      </c>
      <c r="AB11">
        <f t="shared" si="15"/>
        <v>6.5015873015873025</v>
      </c>
      <c r="AC11">
        <f t="shared" si="16"/>
        <v>0.65015873015873027</v>
      </c>
    </row>
    <row r="12" spans="1:29" x14ac:dyDescent="0.2">
      <c r="A12">
        <v>11</v>
      </c>
      <c r="B12">
        <f t="shared" si="3"/>
        <v>121</v>
      </c>
      <c r="C12">
        <f t="shared" si="0"/>
        <v>242</v>
      </c>
      <c r="D12">
        <f t="shared" si="4"/>
        <v>484</v>
      </c>
      <c r="E12">
        <f t="shared" si="5"/>
        <v>968</v>
      </c>
      <c r="F12">
        <f t="shared" si="6"/>
        <v>1936</v>
      </c>
      <c r="L12">
        <v>11</v>
      </c>
      <c r="M12">
        <f t="shared" si="7"/>
        <v>121</v>
      </c>
      <c r="P12">
        <f t="shared" si="8"/>
        <v>720896</v>
      </c>
      <c r="Q12">
        <f t="shared" si="9"/>
        <v>102985.14285714286</v>
      </c>
      <c r="R12">
        <f t="shared" si="10"/>
        <v>4291.0476190476193</v>
      </c>
      <c r="S12">
        <f t="shared" si="1"/>
        <v>71.517460317460319</v>
      </c>
      <c r="T12">
        <f t="shared" si="1"/>
        <v>1.1919576719576719</v>
      </c>
      <c r="U12">
        <f t="shared" si="2"/>
        <v>30.25</v>
      </c>
      <c r="W12">
        <f t="shared" si="11"/>
        <v>1.678466796875E-4</v>
      </c>
      <c r="X12">
        <f t="shared" si="12"/>
        <v>1.1749267578125E-3</v>
      </c>
      <c r="Y12">
        <f t="shared" si="13"/>
        <v>2.81982421875E-2</v>
      </c>
      <c r="Z12">
        <f t="shared" si="14"/>
        <v>1.69189453125</v>
      </c>
      <c r="AB12">
        <f t="shared" si="15"/>
        <v>7.1517460317460317</v>
      </c>
      <c r="AC12">
        <f t="shared" si="16"/>
        <v>0.71517460317460313</v>
      </c>
    </row>
    <row r="13" spans="1:29" x14ac:dyDescent="0.2">
      <c r="A13">
        <v>12</v>
      </c>
      <c r="B13">
        <f t="shared" si="3"/>
        <v>144</v>
      </c>
      <c r="C13">
        <f t="shared" si="0"/>
        <v>288</v>
      </c>
      <c r="D13">
        <f t="shared" si="4"/>
        <v>576</v>
      </c>
      <c r="E13">
        <f t="shared" si="5"/>
        <v>1152</v>
      </c>
      <c r="F13">
        <f t="shared" si="6"/>
        <v>2304</v>
      </c>
      <c r="L13">
        <v>12</v>
      </c>
      <c r="M13">
        <f t="shared" si="7"/>
        <v>144</v>
      </c>
      <c r="P13">
        <f t="shared" si="8"/>
        <v>786432</v>
      </c>
      <c r="Q13">
        <f t="shared" si="9"/>
        <v>112347.42857142857</v>
      </c>
      <c r="R13">
        <f t="shared" si="10"/>
        <v>4681.1428571428569</v>
      </c>
      <c r="S13">
        <f t="shared" si="1"/>
        <v>78.019047619047612</v>
      </c>
      <c r="T13">
        <f t="shared" si="1"/>
        <v>1.3003174603174601</v>
      </c>
      <c r="U13">
        <f t="shared" si="2"/>
        <v>36</v>
      </c>
      <c r="W13">
        <f t="shared" si="11"/>
        <v>1.8310546875E-4</v>
      </c>
      <c r="X13">
        <f t="shared" si="12"/>
        <v>1.28173828125E-3</v>
      </c>
      <c r="Y13">
        <f t="shared" si="13"/>
        <v>3.076171875E-2</v>
      </c>
      <c r="Z13">
        <f t="shared" si="14"/>
        <v>1.845703125</v>
      </c>
      <c r="AB13">
        <f t="shared" si="15"/>
        <v>7.801904761904761</v>
      </c>
      <c r="AC13">
        <f t="shared" si="16"/>
        <v>0.7801904761904761</v>
      </c>
    </row>
    <row r="14" spans="1:29" x14ac:dyDescent="0.2">
      <c r="A14">
        <v>13</v>
      </c>
      <c r="B14">
        <f t="shared" si="3"/>
        <v>169</v>
      </c>
      <c r="C14">
        <f t="shared" si="0"/>
        <v>338</v>
      </c>
      <c r="D14">
        <f t="shared" si="4"/>
        <v>676</v>
      </c>
      <c r="E14">
        <f t="shared" si="5"/>
        <v>1352</v>
      </c>
      <c r="F14">
        <f t="shared" si="6"/>
        <v>2704</v>
      </c>
      <c r="L14">
        <v>13</v>
      </c>
      <c r="M14">
        <f t="shared" si="7"/>
        <v>169</v>
      </c>
      <c r="P14">
        <f t="shared" si="8"/>
        <v>851968</v>
      </c>
      <c r="Q14">
        <f t="shared" si="9"/>
        <v>121709.71428571429</v>
      </c>
      <c r="R14">
        <f t="shared" si="10"/>
        <v>5071.2380952380954</v>
      </c>
      <c r="S14">
        <f t="shared" si="1"/>
        <v>84.520634920634919</v>
      </c>
      <c r="T14">
        <f t="shared" si="1"/>
        <v>1.4086772486772488</v>
      </c>
      <c r="U14">
        <f t="shared" si="2"/>
        <v>42.25</v>
      </c>
      <c r="W14">
        <f t="shared" si="11"/>
        <v>1.983642578125E-4</v>
      </c>
      <c r="X14">
        <f t="shared" si="12"/>
        <v>1.3885498046875E-3</v>
      </c>
      <c r="Y14">
        <f t="shared" si="13"/>
        <v>3.33251953125E-2</v>
      </c>
      <c r="Z14">
        <f t="shared" si="14"/>
        <v>1.99951171875</v>
      </c>
      <c r="AB14">
        <f t="shared" si="15"/>
        <v>8.4520634920634912</v>
      </c>
      <c r="AC14">
        <f t="shared" si="16"/>
        <v>0.84520634920634907</v>
      </c>
    </row>
    <row r="15" spans="1:29" x14ac:dyDescent="0.2">
      <c r="A15">
        <v>14</v>
      </c>
      <c r="B15">
        <f t="shared" si="3"/>
        <v>196</v>
      </c>
      <c r="C15">
        <f t="shared" si="0"/>
        <v>392</v>
      </c>
      <c r="D15">
        <f t="shared" si="4"/>
        <v>784</v>
      </c>
      <c r="E15">
        <f t="shared" si="5"/>
        <v>1568</v>
      </c>
      <c r="F15">
        <f t="shared" si="6"/>
        <v>3136</v>
      </c>
      <c r="L15">
        <v>14</v>
      </c>
      <c r="M15">
        <f t="shared" si="7"/>
        <v>196</v>
      </c>
      <c r="P15">
        <f t="shared" si="8"/>
        <v>917504</v>
      </c>
      <c r="Q15">
        <f t="shared" si="9"/>
        <v>131072</v>
      </c>
      <c r="R15">
        <f t="shared" si="10"/>
        <v>5461.333333333333</v>
      </c>
      <c r="S15">
        <f t="shared" si="1"/>
        <v>91.022222222222211</v>
      </c>
      <c r="T15">
        <f t="shared" si="1"/>
        <v>1.517037037037037</v>
      </c>
      <c r="U15">
        <f t="shared" si="2"/>
        <v>49</v>
      </c>
      <c r="W15">
        <f t="shared" si="11"/>
        <v>2.13623046875E-4</v>
      </c>
      <c r="X15">
        <f t="shared" si="12"/>
        <v>1.495361328125E-3</v>
      </c>
      <c r="Y15">
        <f t="shared" si="13"/>
        <v>3.5888671875E-2</v>
      </c>
      <c r="Z15">
        <f t="shared" si="14"/>
        <v>2.1533203125</v>
      </c>
      <c r="AB15">
        <f t="shared" si="15"/>
        <v>9.1022222222222204</v>
      </c>
      <c r="AC15">
        <f t="shared" si="16"/>
        <v>0.91022222222222204</v>
      </c>
    </row>
    <row r="16" spans="1:29" x14ac:dyDescent="0.2">
      <c r="A16">
        <v>15</v>
      </c>
      <c r="B16">
        <f t="shared" si="3"/>
        <v>225</v>
      </c>
      <c r="C16">
        <f t="shared" si="0"/>
        <v>450</v>
      </c>
      <c r="D16">
        <f t="shared" si="4"/>
        <v>900</v>
      </c>
      <c r="E16">
        <f t="shared" si="5"/>
        <v>1800</v>
      </c>
      <c r="F16">
        <f t="shared" si="6"/>
        <v>3600</v>
      </c>
      <c r="L16">
        <v>15</v>
      </c>
      <c r="M16">
        <f t="shared" si="7"/>
        <v>225</v>
      </c>
      <c r="P16">
        <f t="shared" si="8"/>
        <v>983040</v>
      </c>
      <c r="Q16">
        <f t="shared" si="9"/>
        <v>140434.28571428571</v>
      </c>
      <c r="R16">
        <f t="shared" si="10"/>
        <v>5851.4285714285716</v>
      </c>
      <c r="S16">
        <f t="shared" si="1"/>
        <v>97.523809523809533</v>
      </c>
      <c r="T16">
        <f t="shared" si="1"/>
        <v>1.6253968253968256</v>
      </c>
      <c r="U16">
        <f t="shared" si="2"/>
        <v>56.25</v>
      </c>
      <c r="W16">
        <f t="shared" si="11"/>
        <v>2.288818359375E-4</v>
      </c>
      <c r="X16">
        <f t="shared" si="12"/>
        <v>1.6021728515625E-3</v>
      </c>
      <c r="Y16">
        <f t="shared" si="13"/>
        <v>3.84521484375E-2</v>
      </c>
      <c r="Z16">
        <f t="shared" si="14"/>
        <v>2.30712890625</v>
      </c>
      <c r="AB16">
        <f t="shared" si="15"/>
        <v>9.7523809523809533</v>
      </c>
      <c r="AC16">
        <f t="shared" si="16"/>
        <v>0.97523809523809535</v>
      </c>
    </row>
    <row r="17" spans="1:29" x14ac:dyDescent="0.2">
      <c r="A17">
        <v>16</v>
      </c>
      <c r="B17">
        <f t="shared" si="3"/>
        <v>256</v>
      </c>
      <c r="C17">
        <f t="shared" si="0"/>
        <v>512</v>
      </c>
      <c r="D17">
        <f t="shared" si="4"/>
        <v>1024</v>
      </c>
      <c r="E17">
        <f t="shared" si="5"/>
        <v>2048</v>
      </c>
      <c r="F17">
        <f t="shared" si="6"/>
        <v>4096</v>
      </c>
      <c r="L17">
        <v>16</v>
      </c>
      <c r="M17">
        <f t="shared" si="7"/>
        <v>256</v>
      </c>
      <c r="P17">
        <f t="shared" si="8"/>
        <v>1048576</v>
      </c>
      <c r="Q17">
        <f t="shared" si="9"/>
        <v>149796.57142857142</v>
      </c>
      <c r="R17">
        <f t="shared" si="10"/>
        <v>6241.5238095238092</v>
      </c>
      <c r="S17">
        <f t="shared" si="1"/>
        <v>104.02539682539683</v>
      </c>
      <c r="T17">
        <f t="shared" si="1"/>
        <v>1.7337566137566138</v>
      </c>
      <c r="U17">
        <f t="shared" si="2"/>
        <v>64</v>
      </c>
      <c r="W17">
        <f t="shared" si="11"/>
        <v>2.44140625E-4</v>
      </c>
      <c r="X17">
        <f t="shared" si="12"/>
        <v>1.708984375E-3</v>
      </c>
      <c r="Y17">
        <f t="shared" si="13"/>
        <v>4.1015625E-2</v>
      </c>
      <c r="Z17">
        <f t="shared" si="14"/>
        <v>2.4609375</v>
      </c>
      <c r="AB17">
        <f t="shared" si="15"/>
        <v>10.402539682539683</v>
      </c>
      <c r="AC17">
        <f t="shared" si="16"/>
        <v>1.0402539682539682</v>
      </c>
    </row>
    <row r="18" spans="1:29" x14ac:dyDescent="0.2">
      <c r="A18">
        <v>17</v>
      </c>
      <c r="B18">
        <f t="shared" si="3"/>
        <v>289</v>
      </c>
      <c r="C18">
        <f t="shared" si="0"/>
        <v>578</v>
      </c>
      <c r="D18">
        <f t="shared" si="4"/>
        <v>1156</v>
      </c>
      <c r="E18">
        <f t="shared" si="5"/>
        <v>2312</v>
      </c>
      <c r="F18">
        <f t="shared" si="6"/>
        <v>4624</v>
      </c>
      <c r="L18">
        <v>17</v>
      </c>
      <c r="M18">
        <f t="shared" si="7"/>
        <v>289</v>
      </c>
      <c r="P18">
        <f t="shared" si="8"/>
        <v>1114112</v>
      </c>
      <c r="Q18">
        <f t="shared" si="9"/>
        <v>159158.85714285713</v>
      </c>
      <c r="R18">
        <f t="shared" si="10"/>
        <v>6631.6190476190468</v>
      </c>
      <c r="S18">
        <f t="shared" si="1"/>
        <v>110.52698412698412</v>
      </c>
      <c r="T18">
        <f t="shared" si="1"/>
        <v>1.842116402116402</v>
      </c>
      <c r="U18">
        <f t="shared" si="2"/>
        <v>72.25</v>
      </c>
      <c r="W18">
        <f t="shared" si="11"/>
        <v>2.593994140625E-4</v>
      </c>
      <c r="X18">
        <f t="shared" si="12"/>
        <v>1.8157958984375E-3</v>
      </c>
      <c r="Y18">
        <f t="shared" si="13"/>
        <v>4.35791015625E-2</v>
      </c>
      <c r="Z18">
        <f t="shared" si="14"/>
        <v>2.61474609375</v>
      </c>
      <c r="AB18">
        <f t="shared" si="15"/>
        <v>11.052698412698412</v>
      </c>
      <c r="AC18">
        <f t="shared" si="16"/>
        <v>1.1052698412698412</v>
      </c>
    </row>
    <row r="19" spans="1:29" x14ac:dyDescent="0.2">
      <c r="A19">
        <v>18</v>
      </c>
      <c r="B19">
        <f t="shared" si="3"/>
        <v>324</v>
      </c>
      <c r="C19">
        <f t="shared" si="0"/>
        <v>648</v>
      </c>
      <c r="D19">
        <f t="shared" si="4"/>
        <v>1296</v>
      </c>
      <c r="E19">
        <f t="shared" si="5"/>
        <v>2592</v>
      </c>
      <c r="F19">
        <f t="shared" si="6"/>
        <v>5184</v>
      </c>
      <c r="L19">
        <v>18</v>
      </c>
      <c r="M19">
        <f t="shared" si="7"/>
        <v>324</v>
      </c>
      <c r="P19">
        <f t="shared" si="8"/>
        <v>1179648</v>
      </c>
      <c r="Q19">
        <f t="shared" si="9"/>
        <v>168521.14285714287</v>
      </c>
      <c r="R19">
        <f t="shared" si="10"/>
        <v>7021.7142857142862</v>
      </c>
      <c r="S19">
        <f t="shared" si="1"/>
        <v>117.02857142857144</v>
      </c>
      <c r="T19">
        <f t="shared" si="1"/>
        <v>1.9504761904761907</v>
      </c>
      <c r="U19">
        <f t="shared" si="2"/>
        <v>81</v>
      </c>
      <c r="W19">
        <f t="shared" si="11"/>
        <v>2.74658203125E-4</v>
      </c>
      <c r="X19">
        <f t="shared" si="12"/>
        <v>1.922607421875E-3</v>
      </c>
      <c r="Y19">
        <f t="shared" si="13"/>
        <v>4.6142578125E-2</v>
      </c>
      <c r="Z19">
        <f t="shared" si="14"/>
        <v>2.7685546875</v>
      </c>
      <c r="AB19">
        <f t="shared" si="15"/>
        <v>11.702857142857145</v>
      </c>
      <c r="AC19">
        <f t="shared" si="16"/>
        <v>1.1702857142857144</v>
      </c>
    </row>
    <row r="20" spans="1:29" x14ac:dyDescent="0.2">
      <c r="A20">
        <v>19</v>
      </c>
      <c r="B20">
        <f t="shared" si="3"/>
        <v>361</v>
      </c>
      <c r="C20">
        <f t="shared" si="0"/>
        <v>722</v>
      </c>
      <c r="D20">
        <f t="shared" si="4"/>
        <v>1444</v>
      </c>
      <c r="E20">
        <f t="shared" si="5"/>
        <v>2888</v>
      </c>
      <c r="F20">
        <f t="shared" si="6"/>
        <v>5776</v>
      </c>
      <c r="L20">
        <v>19</v>
      </c>
      <c r="M20">
        <f t="shared" si="7"/>
        <v>361</v>
      </c>
      <c r="P20">
        <f t="shared" si="8"/>
        <v>1245184</v>
      </c>
      <c r="Q20">
        <f t="shared" si="9"/>
        <v>177883.42857142858</v>
      </c>
      <c r="R20">
        <f t="shared" si="10"/>
        <v>7411.8095238095239</v>
      </c>
      <c r="S20">
        <f t="shared" si="1"/>
        <v>123.53015873015873</v>
      </c>
      <c r="T20">
        <f t="shared" si="1"/>
        <v>2.0588359788359787</v>
      </c>
      <c r="U20">
        <f t="shared" si="2"/>
        <v>90.25</v>
      </c>
      <c r="W20">
        <f t="shared" si="11"/>
        <v>2.899169921875E-4</v>
      </c>
      <c r="X20">
        <f t="shared" si="12"/>
        <v>2.0294189453125E-3</v>
      </c>
      <c r="Y20">
        <f t="shared" si="13"/>
        <v>4.87060546875E-2</v>
      </c>
      <c r="Z20">
        <f t="shared" si="14"/>
        <v>2.92236328125</v>
      </c>
      <c r="AB20">
        <f t="shared" si="15"/>
        <v>12.353015873015874</v>
      </c>
      <c r="AC20">
        <f t="shared" si="16"/>
        <v>1.2353015873015873</v>
      </c>
    </row>
    <row r="21" spans="1:29" x14ac:dyDescent="0.2">
      <c r="A21">
        <v>20</v>
      </c>
      <c r="B21">
        <f t="shared" si="3"/>
        <v>400</v>
      </c>
      <c r="C21">
        <f t="shared" si="0"/>
        <v>800</v>
      </c>
      <c r="D21">
        <f t="shared" si="4"/>
        <v>1600</v>
      </c>
      <c r="E21">
        <f t="shared" si="5"/>
        <v>3200</v>
      </c>
      <c r="F21">
        <f t="shared" si="6"/>
        <v>6400</v>
      </c>
      <c r="L21">
        <v>20</v>
      </c>
      <c r="M21">
        <f t="shared" si="7"/>
        <v>400</v>
      </c>
      <c r="P21">
        <f t="shared" si="8"/>
        <v>1310720</v>
      </c>
      <c r="Q21">
        <f t="shared" si="9"/>
        <v>187245.71428571429</v>
      </c>
      <c r="R21">
        <f t="shared" si="10"/>
        <v>7801.9047619047624</v>
      </c>
      <c r="S21">
        <f t="shared" ref="S21:T23" si="17">R21/60</f>
        <v>130.03174603174605</v>
      </c>
      <c r="T21">
        <f t="shared" si="17"/>
        <v>2.1671957671957673</v>
      </c>
      <c r="U21">
        <f t="shared" si="2"/>
        <v>100</v>
      </c>
      <c r="W21">
        <f t="shared" si="11"/>
        <v>3.0517578125E-4</v>
      </c>
      <c r="X21">
        <f t="shared" si="12"/>
        <v>2.13623046875E-3</v>
      </c>
      <c r="Y21">
        <f t="shared" si="13"/>
        <v>5.126953125E-2</v>
      </c>
      <c r="Z21">
        <f t="shared" si="14"/>
        <v>3.076171875</v>
      </c>
      <c r="AB21">
        <f t="shared" si="15"/>
        <v>13.003174603174605</v>
      </c>
      <c r="AC21">
        <f t="shared" si="16"/>
        <v>1.3003174603174605</v>
      </c>
    </row>
    <row r="22" spans="1:29" x14ac:dyDescent="0.2">
      <c r="A22">
        <v>21</v>
      </c>
      <c r="B22">
        <f t="shared" si="3"/>
        <v>441</v>
      </c>
      <c r="C22">
        <f t="shared" si="0"/>
        <v>882</v>
      </c>
      <c r="D22">
        <f t="shared" si="4"/>
        <v>1764</v>
      </c>
      <c r="E22">
        <f t="shared" si="5"/>
        <v>3528</v>
      </c>
      <c r="F22">
        <f t="shared" si="6"/>
        <v>7056</v>
      </c>
      <c r="L22">
        <v>100</v>
      </c>
      <c r="M22">
        <f t="shared" si="7"/>
        <v>10000</v>
      </c>
      <c r="P22">
        <f t="shared" si="8"/>
        <v>6553600</v>
      </c>
      <c r="Q22">
        <f t="shared" si="9"/>
        <v>936228.57142857148</v>
      </c>
      <c r="R22">
        <f t="shared" si="10"/>
        <v>39009.523809523809</v>
      </c>
      <c r="S22">
        <f t="shared" si="17"/>
        <v>650.15873015873012</v>
      </c>
      <c r="T22">
        <f t="shared" si="17"/>
        <v>10.835978835978835</v>
      </c>
      <c r="U22">
        <f t="shared" si="2"/>
        <v>2500</v>
      </c>
      <c r="W22">
        <f t="shared" si="11"/>
        <v>1.52587890625E-3</v>
      </c>
      <c r="X22">
        <f t="shared" si="12"/>
        <v>1.068115234375E-2</v>
      </c>
      <c r="Y22">
        <f t="shared" si="13"/>
        <v>0.25634765625</v>
      </c>
      <c r="Z22">
        <f t="shared" si="14"/>
        <v>15.380859375</v>
      </c>
      <c r="AB22">
        <f t="shared" si="15"/>
        <v>65.015873015873012</v>
      </c>
      <c r="AC22">
        <f t="shared" si="16"/>
        <v>6.5015873015873016</v>
      </c>
    </row>
    <row r="23" spans="1:29" x14ac:dyDescent="0.2">
      <c r="A23">
        <v>22</v>
      </c>
      <c r="B23">
        <f t="shared" si="3"/>
        <v>484</v>
      </c>
      <c r="C23">
        <f t="shared" si="0"/>
        <v>968</v>
      </c>
      <c r="D23">
        <f t="shared" si="4"/>
        <v>1936</v>
      </c>
      <c r="E23">
        <f t="shared" si="5"/>
        <v>3872</v>
      </c>
      <c r="F23">
        <f t="shared" si="6"/>
        <v>7744</v>
      </c>
      <c r="L23">
        <v>200</v>
      </c>
      <c r="M23">
        <f t="shared" si="7"/>
        <v>40000</v>
      </c>
      <c r="P23">
        <f t="shared" si="8"/>
        <v>13107200</v>
      </c>
      <c r="Q23">
        <f t="shared" si="9"/>
        <v>1872457.142857143</v>
      </c>
      <c r="R23">
        <f t="shared" si="10"/>
        <v>78019.047619047618</v>
      </c>
      <c r="S23">
        <f t="shared" si="17"/>
        <v>1300.3174603174602</v>
      </c>
      <c r="T23">
        <f t="shared" si="17"/>
        <v>21.671957671957671</v>
      </c>
      <c r="U23">
        <f t="shared" si="2"/>
        <v>10000</v>
      </c>
      <c r="W23">
        <f t="shared" si="11"/>
        <v>3.0517578125E-3</v>
      </c>
      <c r="X23">
        <f t="shared" si="12"/>
        <v>2.13623046875E-2</v>
      </c>
      <c r="Y23">
        <f t="shared" si="13"/>
        <v>0.5126953125</v>
      </c>
      <c r="Z23">
        <f t="shared" si="14"/>
        <v>30.76171875</v>
      </c>
      <c r="AB23">
        <f t="shared" si="15"/>
        <v>130.03174603174602</v>
      </c>
      <c r="AC23">
        <f t="shared" si="16"/>
        <v>13.003174603174603</v>
      </c>
    </row>
    <row r="24" spans="1:29" x14ac:dyDescent="0.2">
      <c r="A24">
        <v>23</v>
      </c>
      <c r="B24">
        <f t="shared" si="3"/>
        <v>529</v>
      </c>
      <c r="C24">
        <f t="shared" si="0"/>
        <v>1058</v>
      </c>
      <c r="D24">
        <f t="shared" si="4"/>
        <v>2116</v>
      </c>
      <c r="E24">
        <f t="shared" si="5"/>
        <v>4232</v>
      </c>
      <c r="F24">
        <f t="shared" si="6"/>
        <v>8464</v>
      </c>
    </row>
    <row r="25" spans="1:29" x14ac:dyDescent="0.2">
      <c r="A25">
        <v>24</v>
      </c>
      <c r="B25">
        <f t="shared" si="3"/>
        <v>576</v>
      </c>
      <c r="C25">
        <f t="shared" si="0"/>
        <v>1152</v>
      </c>
      <c r="D25">
        <f t="shared" si="4"/>
        <v>2304</v>
      </c>
      <c r="E25">
        <f t="shared" si="5"/>
        <v>4608</v>
      </c>
      <c r="F25">
        <f t="shared" si="6"/>
        <v>9216</v>
      </c>
    </row>
    <row r="26" spans="1:29" x14ac:dyDescent="0.2">
      <c r="A26">
        <v>25</v>
      </c>
      <c r="B26">
        <f t="shared" si="3"/>
        <v>625</v>
      </c>
      <c r="C26">
        <f t="shared" si="0"/>
        <v>1250</v>
      </c>
      <c r="D26">
        <f t="shared" si="4"/>
        <v>2500</v>
      </c>
      <c r="E26">
        <f t="shared" si="5"/>
        <v>5000</v>
      </c>
      <c r="F26">
        <f t="shared" si="6"/>
        <v>10000</v>
      </c>
      <c r="T26" t="s">
        <v>289</v>
      </c>
      <c r="U26" t="s">
        <v>690</v>
      </c>
    </row>
    <row r="27" spans="1:29" x14ac:dyDescent="0.2">
      <c r="A27">
        <v>26</v>
      </c>
      <c r="B27">
        <f t="shared" si="3"/>
        <v>676</v>
      </c>
      <c r="C27">
        <f t="shared" si="0"/>
        <v>1352</v>
      </c>
      <c r="D27">
        <f t="shared" si="4"/>
        <v>2704</v>
      </c>
      <c r="E27">
        <f t="shared" si="5"/>
        <v>5408</v>
      </c>
      <c r="F27">
        <f t="shared" si="6"/>
        <v>10816</v>
      </c>
      <c r="M27">
        <v>0</v>
      </c>
    </row>
    <row r="28" spans="1:29" x14ac:dyDescent="0.2">
      <c r="A28">
        <v>27</v>
      </c>
      <c r="B28">
        <f t="shared" si="3"/>
        <v>729</v>
      </c>
      <c r="C28">
        <f t="shared" si="0"/>
        <v>1458</v>
      </c>
      <c r="D28">
        <f t="shared" si="4"/>
        <v>2916</v>
      </c>
      <c r="E28">
        <f t="shared" si="5"/>
        <v>5832</v>
      </c>
      <c r="F28">
        <f t="shared" si="6"/>
        <v>11664</v>
      </c>
      <c r="L28" t="s">
        <v>773</v>
      </c>
      <c r="M28">
        <v>5</v>
      </c>
      <c r="O28">
        <v>1</v>
      </c>
      <c r="R28">
        <v>100</v>
      </c>
      <c r="T28" t="e">
        <f>100*POWER($O$26,M28/5-1)</f>
        <v>#NUM!</v>
      </c>
    </row>
    <row r="29" spans="1:29" x14ac:dyDescent="0.2">
      <c r="A29">
        <v>28</v>
      </c>
      <c r="B29">
        <f t="shared" si="3"/>
        <v>784</v>
      </c>
      <c r="C29">
        <f t="shared" si="0"/>
        <v>1568</v>
      </c>
      <c r="D29">
        <f t="shared" si="4"/>
        <v>3136</v>
      </c>
      <c r="E29">
        <f t="shared" si="5"/>
        <v>6272</v>
      </c>
      <c r="F29">
        <f t="shared" si="6"/>
        <v>12544</v>
      </c>
      <c r="M29">
        <v>10</v>
      </c>
      <c r="O29">
        <f>O28*10</f>
        <v>10</v>
      </c>
      <c r="T29">
        <f t="shared" ref="T29:T46" si="18">100*POWER($O$26,M29/5-1)</f>
        <v>0</v>
      </c>
    </row>
    <row r="30" spans="1:29" x14ac:dyDescent="0.2">
      <c r="A30">
        <v>29</v>
      </c>
      <c r="B30">
        <f t="shared" si="3"/>
        <v>841</v>
      </c>
      <c r="C30">
        <f t="shared" si="0"/>
        <v>1682</v>
      </c>
      <c r="D30">
        <f t="shared" si="4"/>
        <v>3364</v>
      </c>
      <c r="E30">
        <f t="shared" si="5"/>
        <v>6728</v>
      </c>
      <c r="F30">
        <f t="shared" si="6"/>
        <v>13456</v>
      </c>
      <c r="M30">
        <v>15</v>
      </c>
      <c r="O30">
        <f t="shared" ref="O30:O46" si="19">O29*10</f>
        <v>100</v>
      </c>
      <c r="T30">
        <f t="shared" si="18"/>
        <v>0</v>
      </c>
      <c r="X30" s="98"/>
    </row>
    <row r="31" spans="1:29" x14ac:dyDescent="0.2">
      <c r="A31">
        <v>30</v>
      </c>
      <c r="B31">
        <f t="shared" si="3"/>
        <v>900</v>
      </c>
      <c r="C31">
        <f t="shared" si="0"/>
        <v>1800</v>
      </c>
      <c r="D31">
        <f t="shared" si="4"/>
        <v>3600</v>
      </c>
      <c r="E31">
        <f t="shared" si="5"/>
        <v>7200</v>
      </c>
      <c r="F31">
        <f t="shared" si="6"/>
        <v>14400</v>
      </c>
      <c r="L31" s="1" t="s">
        <v>774</v>
      </c>
      <c r="M31">
        <v>20</v>
      </c>
      <c r="O31">
        <f t="shared" si="19"/>
        <v>1000</v>
      </c>
      <c r="R31">
        <v>10000</v>
      </c>
      <c r="T31">
        <f t="shared" si="18"/>
        <v>0</v>
      </c>
    </row>
    <row r="32" spans="1:29" x14ac:dyDescent="0.2">
      <c r="A32">
        <v>31</v>
      </c>
      <c r="B32">
        <f t="shared" si="3"/>
        <v>961</v>
      </c>
      <c r="C32">
        <f t="shared" si="0"/>
        <v>1922</v>
      </c>
      <c r="D32">
        <f t="shared" si="4"/>
        <v>3844</v>
      </c>
      <c r="E32">
        <f t="shared" si="5"/>
        <v>7688</v>
      </c>
      <c r="F32">
        <f t="shared" si="6"/>
        <v>15376</v>
      </c>
      <c r="L32" s="1"/>
      <c r="M32">
        <v>25</v>
      </c>
      <c r="O32">
        <f t="shared" si="19"/>
        <v>10000</v>
      </c>
      <c r="T32">
        <f t="shared" si="18"/>
        <v>0</v>
      </c>
    </row>
    <row r="33" spans="1:20" x14ac:dyDescent="0.2">
      <c r="A33">
        <v>32</v>
      </c>
      <c r="B33">
        <f t="shared" si="3"/>
        <v>1024</v>
      </c>
      <c r="C33">
        <f t="shared" si="0"/>
        <v>2048</v>
      </c>
      <c r="D33">
        <f t="shared" si="4"/>
        <v>4096</v>
      </c>
      <c r="E33">
        <f t="shared" si="5"/>
        <v>8192</v>
      </c>
      <c r="F33">
        <f t="shared" si="6"/>
        <v>16384</v>
      </c>
      <c r="L33" s="1"/>
      <c r="M33">
        <v>30</v>
      </c>
      <c r="O33">
        <f t="shared" si="19"/>
        <v>100000</v>
      </c>
      <c r="T33">
        <f t="shared" si="18"/>
        <v>0</v>
      </c>
    </row>
    <row r="34" spans="1:20" x14ac:dyDescent="0.2">
      <c r="A34">
        <v>33</v>
      </c>
      <c r="B34">
        <f t="shared" si="3"/>
        <v>1089</v>
      </c>
      <c r="C34">
        <f t="shared" ref="C34:C52" si="20">A34*A34*2</f>
        <v>2178</v>
      </c>
      <c r="D34">
        <f t="shared" si="4"/>
        <v>4356</v>
      </c>
      <c r="E34">
        <f t="shared" si="5"/>
        <v>8712</v>
      </c>
      <c r="F34">
        <f t="shared" si="6"/>
        <v>17424</v>
      </c>
      <c r="L34" s="1" t="s">
        <v>775</v>
      </c>
      <c r="M34">
        <v>35</v>
      </c>
      <c r="O34">
        <f t="shared" si="19"/>
        <v>1000000</v>
      </c>
      <c r="R34">
        <v>1000000</v>
      </c>
      <c r="T34">
        <f t="shared" si="18"/>
        <v>0</v>
      </c>
    </row>
    <row r="35" spans="1:20" x14ac:dyDescent="0.2">
      <c r="A35">
        <v>34</v>
      </c>
      <c r="B35">
        <f t="shared" si="3"/>
        <v>1156</v>
      </c>
      <c r="C35">
        <f t="shared" si="20"/>
        <v>2312</v>
      </c>
      <c r="D35">
        <f t="shared" si="4"/>
        <v>4624</v>
      </c>
      <c r="E35">
        <f t="shared" si="5"/>
        <v>9248</v>
      </c>
      <c r="F35">
        <f t="shared" si="6"/>
        <v>18496</v>
      </c>
      <c r="L35" s="1"/>
      <c r="M35">
        <v>40</v>
      </c>
      <c r="O35">
        <f t="shared" si="19"/>
        <v>10000000</v>
      </c>
      <c r="T35">
        <f t="shared" si="18"/>
        <v>0</v>
      </c>
    </row>
    <row r="36" spans="1:20" x14ac:dyDescent="0.2">
      <c r="A36">
        <v>35</v>
      </c>
      <c r="B36">
        <f t="shared" si="3"/>
        <v>1225</v>
      </c>
      <c r="C36">
        <f t="shared" si="20"/>
        <v>2450</v>
      </c>
      <c r="D36">
        <f t="shared" si="4"/>
        <v>4900</v>
      </c>
      <c r="E36">
        <f t="shared" si="5"/>
        <v>9800</v>
      </c>
      <c r="F36">
        <f t="shared" si="6"/>
        <v>19600</v>
      </c>
      <c r="L36" s="1"/>
      <c r="M36">
        <v>45</v>
      </c>
      <c r="O36">
        <f t="shared" si="19"/>
        <v>100000000</v>
      </c>
      <c r="T36">
        <f t="shared" si="18"/>
        <v>0</v>
      </c>
    </row>
    <row r="37" spans="1:20" x14ac:dyDescent="0.2">
      <c r="A37">
        <v>36</v>
      </c>
      <c r="B37">
        <f t="shared" si="3"/>
        <v>1296</v>
      </c>
      <c r="C37">
        <f t="shared" si="20"/>
        <v>2592</v>
      </c>
      <c r="D37">
        <f t="shared" si="4"/>
        <v>5184</v>
      </c>
      <c r="E37">
        <f t="shared" si="5"/>
        <v>10368</v>
      </c>
      <c r="F37">
        <f t="shared" si="6"/>
        <v>20736</v>
      </c>
      <c r="L37" s="1" t="s">
        <v>776</v>
      </c>
      <c r="M37">
        <v>50</v>
      </c>
      <c r="O37">
        <f t="shared" si="19"/>
        <v>1000000000</v>
      </c>
      <c r="R37">
        <v>100000000</v>
      </c>
      <c r="T37">
        <f t="shared" si="18"/>
        <v>0</v>
      </c>
    </row>
    <row r="38" spans="1:20" x14ac:dyDescent="0.2">
      <c r="A38">
        <v>37</v>
      </c>
      <c r="B38">
        <f t="shared" si="3"/>
        <v>1369</v>
      </c>
      <c r="C38">
        <f t="shared" si="20"/>
        <v>2738</v>
      </c>
      <c r="D38">
        <f t="shared" si="4"/>
        <v>5476</v>
      </c>
      <c r="E38">
        <f t="shared" si="5"/>
        <v>10952</v>
      </c>
      <c r="F38">
        <f t="shared" si="6"/>
        <v>21904</v>
      </c>
      <c r="L38" s="1"/>
      <c r="M38">
        <v>55</v>
      </c>
      <c r="O38">
        <f t="shared" si="19"/>
        <v>10000000000</v>
      </c>
      <c r="T38">
        <f t="shared" si="18"/>
        <v>0</v>
      </c>
    </row>
    <row r="39" spans="1:20" x14ac:dyDescent="0.2">
      <c r="A39">
        <v>38</v>
      </c>
      <c r="B39">
        <f t="shared" si="3"/>
        <v>1444</v>
      </c>
      <c r="C39">
        <f t="shared" si="20"/>
        <v>2888</v>
      </c>
      <c r="D39">
        <f t="shared" si="4"/>
        <v>5776</v>
      </c>
      <c r="E39">
        <f t="shared" si="5"/>
        <v>11552</v>
      </c>
      <c r="F39">
        <f t="shared" si="6"/>
        <v>23104</v>
      </c>
      <c r="L39" s="1"/>
      <c r="M39">
        <v>60</v>
      </c>
      <c r="O39">
        <f t="shared" si="19"/>
        <v>100000000000</v>
      </c>
      <c r="T39">
        <f t="shared" si="18"/>
        <v>0</v>
      </c>
    </row>
    <row r="40" spans="1:20" x14ac:dyDescent="0.2">
      <c r="A40">
        <v>39</v>
      </c>
      <c r="B40">
        <f t="shared" si="3"/>
        <v>1521</v>
      </c>
      <c r="C40">
        <f t="shared" si="20"/>
        <v>3042</v>
      </c>
      <c r="D40">
        <f t="shared" si="4"/>
        <v>6084</v>
      </c>
      <c r="E40">
        <f t="shared" si="5"/>
        <v>12168</v>
      </c>
      <c r="F40">
        <f t="shared" si="6"/>
        <v>24336</v>
      </c>
      <c r="L40" s="1"/>
      <c r="M40">
        <v>65</v>
      </c>
      <c r="O40">
        <f t="shared" si="19"/>
        <v>1000000000000</v>
      </c>
      <c r="T40">
        <f t="shared" si="18"/>
        <v>0</v>
      </c>
    </row>
    <row r="41" spans="1:20" x14ac:dyDescent="0.2">
      <c r="A41">
        <v>40</v>
      </c>
      <c r="B41">
        <f t="shared" si="3"/>
        <v>1600</v>
      </c>
      <c r="C41">
        <f t="shared" si="20"/>
        <v>3200</v>
      </c>
      <c r="D41">
        <f t="shared" si="4"/>
        <v>6400</v>
      </c>
      <c r="E41">
        <f t="shared" si="5"/>
        <v>12800</v>
      </c>
      <c r="F41">
        <f t="shared" si="6"/>
        <v>25600</v>
      </c>
      <c r="L41" s="1"/>
      <c r="M41">
        <v>70</v>
      </c>
      <c r="O41">
        <f t="shared" si="19"/>
        <v>10000000000000</v>
      </c>
      <c r="T41">
        <f t="shared" si="18"/>
        <v>0</v>
      </c>
    </row>
    <row r="42" spans="1:20" x14ac:dyDescent="0.2">
      <c r="A42">
        <v>41</v>
      </c>
      <c r="B42">
        <f t="shared" si="3"/>
        <v>1681</v>
      </c>
      <c r="C42">
        <f t="shared" si="20"/>
        <v>3362</v>
      </c>
      <c r="D42">
        <f t="shared" si="4"/>
        <v>6724</v>
      </c>
      <c r="E42">
        <f t="shared" si="5"/>
        <v>13448</v>
      </c>
      <c r="F42">
        <f t="shared" si="6"/>
        <v>26896</v>
      </c>
      <c r="L42" s="1"/>
      <c r="M42">
        <v>75</v>
      </c>
      <c r="O42">
        <f t="shared" si="19"/>
        <v>100000000000000</v>
      </c>
      <c r="T42">
        <f t="shared" si="18"/>
        <v>0</v>
      </c>
    </row>
    <row r="43" spans="1:20" x14ac:dyDescent="0.2">
      <c r="A43">
        <v>42</v>
      </c>
      <c r="B43">
        <f t="shared" si="3"/>
        <v>1764</v>
      </c>
      <c r="C43">
        <f t="shared" si="20"/>
        <v>3528</v>
      </c>
      <c r="D43">
        <f t="shared" si="4"/>
        <v>7056</v>
      </c>
      <c r="E43">
        <f t="shared" si="5"/>
        <v>14112</v>
      </c>
      <c r="F43">
        <f t="shared" si="6"/>
        <v>28224</v>
      </c>
      <c r="L43" s="1"/>
      <c r="M43">
        <v>80</v>
      </c>
      <c r="O43">
        <f t="shared" si="19"/>
        <v>1000000000000000</v>
      </c>
      <c r="T43">
        <f t="shared" si="18"/>
        <v>0</v>
      </c>
    </row>
    <row r="44" spans="1:20" x14ac:dyDescent="0.2">
      <c r="A44">
        <v>43</v>
      </c>
      <c r="B44">
        <f t="shared" si="3"/>
        <v>1849</v>
      </c>
      <c r="C44">
        <f t="shared" si="20"/>
        <v>3698</v>
      </c>
      <c r="D44">
        <f t="shared" si="4"/>
        <v>7396</v>
      </c>
      <c r="E44">
        <f t="shared" si="5"/>
        <v>14792</v>
      </c>
      <c r="F44">
        <f t="shared" si="6"/>
        <v>29584</v>
      </c>
      <c r="L44" s="1"/>
      <c r="M44">
        <v>85</v>
      </c>
      <c r="O44">
        <f t="shared" si="19"/>
        <v>1E+16</v>
      </c>
      <c r="T44">
        <f t="shared" si="18"/>
        <v>0</v>
      </c>
    </row>
    <row r="45" spans="1:20" x14ac:dyDescent="0.2">
      <c r="A45">
        <v>44</v>
      </c>
      <c r="B45">
        <f t="shared" si="3"/>
        <v>1936</v>
      </c>
      <c r="C45">
        <f t="shared" si="20"/>
        <v>3872</v>
      </c>
      <c r="D45">
        <f t="shared" si="4"/>
        <v>7744</v>
      </c>
      <c r="E45">
        <f t="shared" si="5"/>
        <v>15488</v>
      </c>
      <c r="F45">
        <f t="shared" si="6"/>
        <v>30976</v>
      </c>
      <c r="L45" s="1"/>
      <c r="M45">
        <v>90</v>
      </c>
      <c r="O45">
        <f t="shared" si="19"/>
        <v>1E+17</v>
      </c>
      <c r="T45">
        <f t="shared" si="18"/>
        <v>0</v>
      </c>
    </row>
    <row r="46" spans="1:20" x14ac:dyDescent="0.2">
      <c r="A46">
        <v>45</v>
      </c>
      <c r="B46">
        <f t="shared" si="3"/>
        <v>2025</v>
      </c>
      <c r="C46">
        <f t="shared" si="20"/>
        <v>4050</v>
      </c>
      <c r="D46">
        <f t="shared" si="4"/>
        <v>8100</v>
      </c>
      <c r="E46">
        <f t="shared" si="5"/>
        <v>16200</v>
      </c>
      <c r="F46">
        <f t="shared" si="6"/>
        <v>32400</v>
      </c>
      <c r="L46" s="1"/>
      <c r="M46">
        <v>100</v>
      </c>
      <c r="O46">
        <f t="shared" si="19"/>
        <v>1E+18</v>
      </c>
      <c r="T46">
        <f t="shared" si="18"/>
        <v>0</v>
      </c>
    </row>
    <row r="47" spans="1:20" x14ac:dyDescent="0.2">
      <c r="A47">
        <v>46</v>
      </c>
      <c r="B47">
        <f t="shared" si="3"/>
        <v>2116</v>
      </c>
      <c r="C47">
        <f t="shared" si="20"/>
        <v>4232</v>
      </c>
      <c r="D47">
        <f t="shared" si="4"/>
        <v>8464</v>
      </c>
      <c r="E47">
        <f t="shared" si="5"/>
        <v>16928</v>
      </c>
      <c r="F47">
        <f t="shared" si="6"/>
        <v>33856</v>
      </c>
      <c r="L47" s="1"/>
    </row>
    <row r="48" spans="1:20" x14ac:dyDescent="0.2">
      <c r="A48">
        <v>47</v>
      </c>
      <c r="B48">
        <f t="shared" si="3"/>
        <v>2209</v>
      </c>
      <c r="C48">
        <f t="shared" si="20"/>
        <v>4418</v>
      </c>
      <c r="D48">
        <f t="shared" si="4"/>
        <v>8836</v>
      </c>
      <c r="E48">
        <f t="shared" si="5"/>
        <v>17672</v>
      </c>
      <c r="F48">
        <f t="shared" si="6"/>
        <v>35344</v>
      </c>
    </row>
    <row r="49" spans="1:31" x14ac:dyDescent="0.2">
      <c r="A49">
        <v>48</v>
      </c>
      <c r="B49">
        <f t="shared" si="3"/>
        <v>2304</v>
      </c>
      <c r="C49">
        <f t="shared" si="20"/>
        <v>4608</v>
      </c>
      <c r="D49">
        <f t="shared" si="4"/>
        <v>9216</v>
      </c>
      <c r="E49">
        <f t="shared" si="5"/>
        <v>18432</v>
      </c>
      <c r="F49">
        <f t="shared" si="6"/>
        <v>36864</v>
      </c>
      <c r="H49" t="s">
        <v>116</v>
      </c>
      <c r="I49" t="s">
        <v>117</v>
      </c>
      <c r="J49" t="s">
        <v>118</v>
      </c>
    </row>
    <row r="50" spans="1:31" x14ac:dyDescent="0.2">
      <c r="A50">
        <v>49</v>
      </c>
      <c r="B50">
        <f t="shared" si="3"/>
        <v>2401</v>
      </c>
      <c r="C50">
        <f t="shared" si="20"/>
        <v>4802</v>
      </c>
      <c r="D50">
        <f t="shared" si="4"/>
        <v>9604</v>
      </c>
      <c r="E50">
        <f t="shared" si="5"/>
        <v>19208</v>
      </c>
      <c r="F50">
        <f t="shared" si="6"/>
        <v>38416</v>
      </c>
      <c r="H50" t="s">
        <v>114</v>
      </c>
      <c r="I50" t="s">
        <v>115</v>
      </c>
      <c r="J50" t="s">
        <v>120</v>
      </c>
      <c r="K50" t="s">
        <v>122</v>
      </c>
    </row>
    <row r="51" spans="1:31" x14ac:dyDescent="0.2">
      <c r="A51">
        <v>79</v>
      </c>
      <c r="B51">
        <f t="shared" si="3"/>
        <v>6241</v>
      </c>
      <c r="C51">
        <f t="shared" si="20"/>
        <v>12482</v>
      </c>
      <c r="D51">
        <f t="shared" si="4"/>
        <v>24964</v>
      </c>
      <c r="E51">
        <f t="shared" si="5"/>
        <v>49928</v>
      </c>
      <c r="F51">
        <f t="shared" si="6"/>
        <v>99856</v>
      </c>
      <c r="H51">
        <v>18</v>
      </c>
      <c r="I51">
        <v>36</v>
      </c>
      <c r="J51" t="s">
        <v>119</v>
      </c>
      <c r="K51">
        <f>I51/2*8</f>
        <v>144</v>
      </c>
      <c r="L51">
        <f>K51/12</f>
        <v>12</v>
      </c>
      <c r="AB51">
        <f>AB59*10</f>
        <v>55</v>
      </c>
      <c r="AC51">
        <f>AC59*10</f>
        <v>110</v>
      </c>
    </row>
    <row r="52" spans="1:31" x14ac:dyDescent="0.2">
      <c r="A52">
        <v>200</v>
      </c>
      <c r="B52">
        <f t="shared" si="3"/>
        <v>40000</v>
      </c>
      <c r="C52">
        <f t="shared" si="20"/>
        <v>80000</v>
      </c>
      <c r="D52">
        <f t="shared" si="4"/>
        <v>160000</v>
      </c>
      <c r="E52">
        <f t="shared" si="5"/>
        <v>320000</v>
      </c>
      <c r="F52">
        <f t="shared" si="6"/>
        <v>640000</v>
      </c>
      <c r="AA52" t="s">
        <v>12</v>
      </c>
      <c r="AB52">
        <f>AB51*60</f>
        <v>3300</v>
      </c>
      <c r="AC52">
        <f>AC51*60</f>
        <v>6600</v>
      </c>
    </row>
    <row r="53" spans="1:31" x14ac:dyDescent="0.2">
      <c r="AC53">
        <f>AC62*10</f>
        <v>180</v>
      </c>
      <c r="AD53">
        <f>AD62*10</f>
        <v>360</v>
      </c>
    </row>
    <row r="54" spans="1:31" x14ac:dyDescent="0.2">
      <c r="AC54">
        <f>AC53*60</f>
        <v>10800</v>
      </c>
      <c r="AD54">
        <f>AD53*60</f>
        <v>21600</v>
      </c>
    </row>
    <row r="55" spans="1:31" x14ac:dyDescent="0.2">
      <c r="P55" t="s">
        <v>112</v>
      </c>
      <c r="Q55" t="s">
        <v>15</v>
      </c>
      <c r="R55" t="s">
        <v>16</v>
      </c>
      <c r="S55" t="s">
        <v>112</v>
      </c>
      <c r="T55" t="s">
        <v>15</v>
      </c>
      <c r="U55" t="s">
        <v>16</v>
      </c>
      <c r="V55" t="s">
        <v>16</v>
      </c>
      <c r="W55" t="s">
        <v>16</v>
      </c>
    </row>
    <row r="56" spans="1:31" x14ac:dyDescent="0.2">
      <c r="F56" t="s">
        <v>0</v>
      </c>
      <c r="G56" t="s">
        <v>110</v>
      </c>
      <c r="H56" t="s">
        <v>10</v>
      </c>
      <c r="J56" t="s">
        <v>109</v>
      </c>
      <c r="K56" t="s">
        <v>108</v>
      </c>
      <c r="L56" t="s">
        <v>106</v>
      </c>
      <c r="M56" t="s">
        <v>107</v>
      </c>
      <c r="P56" t="s">
        <v>111</v>
      </c>
      <c r="Q56" t="s">
        <v>111</v>
      </c>
      <c r="R56" t="s">
        <v>111</v>
      </c>
      <c r="S56" t="s">
        <v>17</v>
      </c>
      <c r="T56" t="s">
        <v>17</v>
      </c>
      <c r="U56" t="s">
        <v>17</v>
      </c>
      <c r="V56" t="s">
        <v>18</v>
      </c>
      <c r="W56" t="s">
        <v>19</v>
      </c>
      <c r="X56" t="s">
        <v>23</v>
      </c>
      <c r="Y56" t="s">
        <v>24</v>
      </c>
      <c r="Z56" t="s">
        <v>16</v>
      </c>
      <c r="AB56" t="s">
        <v>123</v>
      </c>
      <c r="AC56" t="s">
        <v>111</v>
      </c>
      <c r="AD56" t="s">
        <v>121</v>
      </c>
      <c r="AE56" t="s">
        <v>113</v>
      </c>
    </row>
    <row r="57" spans="1:31" x14ac:dyDescent="0.2">
      <c r="F57">
        <v>1</v>
      </c>
      <c r="G57">
        <v>-1</v>
      </c>
      <c r="H57">
        <f>10+G57</f>
        <v>9</v>
      </c>
      <c r="J57">
        <f t="shared" ref="J57:L86" si="21">K57/2</f>
        <v>0.75</v>
      </c>
      <c r="K57">
        <f t="shared" si="21"/>
        <v>1.5</v>
      </c>
      <c r="L57">
        <f t="shared" si="21"/>
        <v>3</v>
      </c>
      <c r="M57">
        <f t="shared" ref="M57:M86" si="22">H57*2/3</f>
        <v>6</v>
      </c>
      <c r="P57">
        <f t="shared" ref="P57:P86" si="23">H57/2</f>
        <v>4.5</v>
      </c>
      <c r="Q57">
        <f t="shared" ref="Q57:Q86" si="24">P57*10</f>
        <v>45</v>
      </c>
      <c r="R57">
        <f t="shared" ref="R57:R62" si="25">Q57*60</f>
        <v>2700</v>
      </c>
      <c r="S57">
        <f>P57*2</f>
        <v>9</v>
      </c>
      <c r="T57">
        <f>Q57*2</f>
        <v>90</v>
      </c>
      <c r="U57">
        <f>R57*2</f>
        <v>5400</v>
      </c>
      <c r="V57">
        <f t="shared" ref="V57:V86" si="26">R57*4</f>
        <v>10800</v>
      </c>
      <c r="W57">
        <f t="shared" ref="W57:W86" si="27">R57*8</f>
        <v>21600</v>
      </c>
      <c r="X57">
        <f>Y57/10</f>
        <v>6</v>
      </c>
      <c r="Y57">
        <f t="shared" ref="Y57:Y86" si="28">Q57*8/6</f>
        <v>60</v>
      </c>
      <c r="Z57">
        <f>Y57*360</f>
        <v>21600</v>
      </c>
      <c r="AB57">
        <f>H57/2</f>
        <v>4.5</v>
      </c>
      <c r="AC57">
        <f t="shared" ref="AC57:AE86" si="29">AB57*2</f>
        <v>9</v>
      </c>
      <c r="AD57">
        <f t="shared" si="29"/>
        <v>18</v>
      </c>
      <c r="AE57">
        <f t="shared" si="29"/>
        <v>36</v>
      </c>
    </row>
    <row r="58" spans="1:31" x14ac:dyDescent="0.2">
      <c r="F58">
        <v>2</v>
      </c>
      <c r="G58">
        <f t="shared" ref="G58:G86" si="30">FLOOR(F58*F58*F58/27,1)</f>
        <v>0</v>
      </c>
      <c r="H58">
        <f t="shared" ref="H58:H86" si="31">10+G58</f>
        <v>10</v>
      </c>
      <c r="J58">
        <f t="shared" si="21"/>
        <v>0.83333333333333337</v>
      </c>
      <c r="K58">
        <f t="shared" si="21"/>
        <v>1.6666666666666667</v>
      </c>
      <c r="L58">
        <f t="shared" si="21"/>
        <v>3.3333333333333335</v>
      </c>
      <c r="M58">
        <f t="shared" si="22"/>
        <v>6.666666666666667</v>
      </c>
      <c r="P58">
        <f t="shared" si="23"/>
        <v>5</v>
      </c>
      <c r="Q58">
        <f t="shared" si="24"/>
        <v>50</v>
      </c>
      <c r="R58">
        <f t="shared" si="25"/>
        <v>3000</v>
      </c>
      <c r="S58">
        <f t="shared" ref="S58:S86" si="32">P58*2</f>
        <v>10</v>
      </c>
      <c r="T58">
        <f t="shared" ref="T58:T86" si="33">Q58*2</f>
        <v>100</v>
      </c>
      <c r="U58">
        <f t="shared" ref="U58:U86" si="34">R58*2</f>
        <v>6000</v>
      </c>
      <c r="V58">
        <f t="shared" si="26"/>
        <v>12000</v>
      </c>
      <c r="W58">
        <f t="shared" si="27"/>
        <v>24000</v>
      </c>
      <c r="X58">
        <f t="shared" ref="X58:X86" si="35">Y58/10</f>
        <v>6.666666666666667</v>
      </c>
      <c r="Y58">
        <f t="shared" si="28"/>
        <v>66.666666666666671</v>
      </c>
      <c r="Z58">
        <f t="shared" ref="Z58:Z86" si="36">Y58*360</f>
        <v>24000</v>
      </c>
      <c r="AB58">
        <f t="shared" ref="AB58:AB86" si="37">H58/2</f>
        <v>5</v>
      </c>
      <c r="AC58">
        <f t="shared" si="29"/>
        <v>10</v>
      </c>
      <c r="AD58">
        <f t="shared" si="29"/>
        <v>20</v>
      </c>
      <c r="AE58">
        <f t="shared" si="29"/>
        <v>40</v>
      </c>
    </row>
    <row r="59" spans="1:31" x14ac:dyDescent="0.2">
      <c r="F59">
        <v>3</v>
      </c>
      <c r="G59">
        <f t="shared" si="30"/>
        <v>1</v>
      </c>
      <c r="H59">
        <f t="shared" si="31"/>
        <v>11</v>
      </c>
      <c r="J59">
        <f t="shared" si="21"/>
        <v>0.91666666666666663</v>
      </c>
      <c r="K59">
        <f t="shared" si="21"/>
        <v>1.8333333333333333</v>
      </c>
      <c r="L59">
        <f t="shared" si="21"/>
        <v>3.6666666666666665</v>
      </c>
      <c r="M59">
        <f t="shared" si="22"/>
        <v>7.333333333333333</v>
      </c>
      <c r="P59">
        <f t="shared" si="23"/>
        <v>5.5</v>
      </c>
      <c r="Q59">
        <f t="shared" si="24"/>
        <v>55</v>
      </c>
      <c r="R59">
        <f t="shared" si="25"/>
        <v>3300</v>
      </c>
      <c r="S59">
        <f t="shared" si="32"/>
        <v>11</v>
      </c>
      <c r="T59">
        <f t="shared" si="33"/>
        <v>110</v>
      </c>
      <c r="U59">
        <f t="shared" si="34"/>
        <v>6600</v>
      </c>
      <c r="V59">
        <f t="shared" si="26"/>
        <v>13200</v>
      </c>
      <c r="W59">
        <f t="shared" si="27"/>
        <v>26400</v>
      </c>
      <c r="X59">
        <f t="shared" si="35"/>
        <v>7.333333333333333</v>
      </c>
      <c r="Y59">
        <f t="shared" si="28"/>
        <v>73.333333333333329</v>
      </c>
      <c r="Z59">
        <f t="shared" si="36"/>
        <v>26400</v>
      </c>
      <c r="AB59">
        <f t="shared" si="37"/>
        <v>5.5</v>
      </c>
      <c r="AC59">
        <f t="shared" si="29"/>
        <v>11</v>
      </c>
      <c r="AD59">
        <f t="shared" si="29"/>
        <v>22</v>
      </c>
      <c r="AE59">
        <f t="shared" si="29"/>
        <v>44</v>
      </c>
    </row>
    <row r="60" spans="1:31" x14ac:dyDescent="0.2">
      <c r="F60" s="2">
        <v>4</v>
      </c>
      <c r="G60">
        <f t="shared" si="30"/>
        <v>2</v>
      </c>
      <c r="H60">
        <f t="shared" si="31"/>
        <v>12</v>
      </c>
      <c r="J60">
        <f t="shared" si="21"/>
        <v>1</v>
      </c>
      <c r="K60">
        <f t="shared" si="21"/>
        <v>2</v>
      </c>
      <c r="L60">
        <f t="shared" si="21"/>
        <v>4</v>
      </c>
      <c r="M60">
        <f t="shared" si="22"/>
        <v>8</v>
      </c>
      <c r="P60">
        <f t="shared" si="23"/>
        <v>6</v>
      </c>
      <c r="Q60">
        <f t="shared" si="24"/>
        <v>60</v>
      </c>
      <c r="R60">
        <f t="shared" si="25"/>
        <v>3600</v>
      </c>
      <c r="S60">
        <f t="shared" si="32"/>
        <v>12</v>
      </c>
      <c r="T60">
        <f t="shared" si="33"/>
        <v>120</v>
      </c>
      <c r="U60">
        <f t="shared" si="34"/>
        <v>7200</v>
      </c>
      <c r="V60">
        <f t="shared" si="26"/>
        <v>14400</v>
      </c>
      <c r="W60">
        <f t="shared" si="27"/>
        <v>28800</v>
      </c>
      <c r="X60">
        <f t="shared" si="35"/>
        <v>8</v>
      </c>
      <c r="Y60">
        <f t="shared" si="28"/>
        <v>80</v>
      </c>
      <c r="Z60">
        <f t="shared" si="36"/>
        <v>28800</v>
      </c>
      <c r="AB60">
        <f t="shared" si="37"/>
        <v>6</v>
      </c>
      <c r="AC60">
        <f t="shared" si="29"/>
        <v>12</v>
      </c>
      <c r="AD60">
        <f t="shared" si="29"/>
        <v>24</v>
      </c>
      <c r="AE60">
        <f t="shared" si="29"/>
        <v>48</v>
      </c>
    </row>
    <row r="61" spans="1:31" x14ac:dyDescent="0.2">
      <c r="F61">
        <v>5</v>
      </c>
      <c r="G61">
        <f t="shared" si="30"/>
        <v>4</v>
      </c>
      <c r="H61">
        <f t="shared" si="31"/>
        <v>14</v>
      </c>
      <c r="J61">
        <f t="shared" si="21"/>
        <v>1.1666666666666667</v>
      </c>
      <c r="K61">
        <f t="shared" si="21"/>
        <v>2.3333333333333335</v>
      </c>
      <c r="L61">
        <f t="shared" si="21"/>
        <v>4.666666666666667</v>
      </c>
      <c r="M61">
        <f t="shared" si="22"/>
        <v>9.3333333333333339</v>
      </c>
      <c r="P61">
        <f t="shared" si="23"/>
        <v>7</v>
      </c>
      <c r="Q61">
        <f t="shared" si="24"/>
        <v>70</v>
      </c>
      <c r="R61">
        <f t="shared" si="25"/>
        <v>4200</v>
      </c>
      <c r="S61">
        <f t="shared" si="32"/>
        <v>14</v>
      </c>
      <c r="T61">
        <f t="shared" si="33"/>
        <v>140</v>
      </c>
      <c r="U61">
        <f t="shared" si="34"/>
        <v>8400</v>
      </c>
      <c r="V61">
        <f t="shared" si="26"/>
        <v>16800</v>
      </c>
      <c r="W61">
        <f t="shared" si="27"/>
        <v>33600</v>
      </c>
      <c r="X61">
        <f t="shared" si="35"/>
        <v>9.3333333333333321</v>
      </c>
      <c r="Y61">
        <f t="shared" si="28"/>
        <v>93.333333333333329</v>
      </c>
      <c r="Z61">
        <f t="shared" si="36"/>
        <v>33600</v>
      </c>
      <c r="AB61">
        <f t="shared" si="37"/>
        <v>7</v>
      </c>
      <c r="AC61">
        <f t="shared" si="29"/>
        <v>14</v>
      </c>
      <c r="AD61">
        <f t="shared" si="29"/>
        <v>28</v>
      </c>
      <c r="AE61">
        <f t="shared" si="29"/>
        <v>56</v>
      </c>
    </row>
    <row r="62" spans="1:31" x14ac:dyDescent="0.2">
      <c r="F62" s="2">
        <v>6</v>
      </c>
      <c r="G62">
        <f t="shared" si="30"/>
        <v>8</v>
      </c>
      <c r="H62">
        <f t="shared" si="31"/>
        <v>18</v>
      </c>
      <c r="J62">
        <f t="shared" si="21"/>
        <v>1.5</v>
      </c>
      <c r="K62">
        <f t="shared" si="21"/>
        <v>3</v>
      </c>
      <c r="L62">
        <f t="shared" si="21"/>
        <v>6</v>
      </c>
      <c r="M62">
        <f t="shared" si="22"/>
        <v>12</v>
      </c>
      <c r="N62" s="2"/>
      <c r="P62" s="2">
        <f t="shared" si="23"/>
        <v>9</v>
      </c>
      <c r="Q62" s="2">
        <f t="shared" si="24"/>
        <v>90</v>
      </c>
      <c r="R62" s="2">
        <f t="shared" si="25"/>
        <v>5400</v>
      </c>
      <c r="S62">
        <f t="shared" si="32"/>
        <v>18</v>
      </c>
      <c r="T62">
        <f t="shared" si="33"/>
        <v>180</v>
      </c>
      <c r="U62" s="2">
        <f t="shared" si="34"/>
        <v>10800</v>
      </c>
      <c r="V62" s="2">
        <f t="shared" si="26"/>
        <v>21600</v>
      </c>
      <c r="W62" s="2">
        <f t="shared" si="27"/>
        <v>43200</v>
      </c>
      <c r="X62">
        <f t="shared" si="35"/>
        <v>12</v>
      </c>
      <c r="Y62" s="2">
        <f t="shared" si="28"/>
        <v>120</v>
      </c>
      <c r="Z62" s="2">
        <f t="shared" si="36"/>
        <v>43200</v>
      </c>
      <c r="AB62">
        <f t="shared" si="37"/>
        <v>9</v>
      </c>
      <c r="AC62">
        <f t="shared" si="29"/>
        <v>18</v>
      </c>
      <c r="AD62">
        <f t="shared" si="29"/>
        <v>36</v>
      </c>
      <c r="AE62">
        <f t="shared" si="29"/>
        <v>72</v>
      </c>
    </row>
    <row r="63" spans="1:31" x14ac:dyDescent="0.2">
      <c r="F63">
        <v>7</v>
      </c>
      <c r="G63">
        <f t="shared" si="30"/>
        <v>12</v>
      </c>
      <c r="H63">
        <f t="shared" si="31"/>
        <v>22</v>
      </c>
      <c r="J63">
        <f t="shared" si="21"/>
        <v>1.8333333333333333</v>
      </c>
      <c r="K63">
        <f t="shared" si="21"/>
        <v>3.6666666666666665</v>
      </c>
      <c r="L63">
        <f t="shared" si="21"/>
        <v>7.333333333333333</v>
      </c>
      <c r="M63">
        <f t="shared" si="22"/>
        <v>14.666666666666666</v>
      </c>
      <c r="P63">
        <f t="shared" si="23"/>
        <v>11</v>
      </c>
      <c r="Q63">
        <f t="shared" si="24"/>
        <v>110</v>
      </c>
      <c r="R63">
        <f t="shared" ref="R63:R86" si="38">Q63*60</f>
        <v>6600</v>
      </c>
      <c r="S63">
        <f t="shared" si="32"/>
        <v>22</v>
      </c>
      <c r="T63">
        <f t="shared" si="33"/>
        <v>220</v>
      </c>
      <c r="U63">
        <f t="shared" si="34"/>
        <v>13200</v>
      </c>
      <c r="V63">
        <f t="shared" si="26"/>
        <v>26400</v>
      </c>
      <c r="W63">
        <f t="shared" si="27"/>
        <v>52800</v>
      </c>
      <c r="X63">
        <f t="shared" si="35"/>
        <v>14.666666666666666</v>
      </c>
      <c r="Y63">
        <f t="shared" si="28"/>
        <v>146.66666666666666</v>
      </c>
      <c r="Z63">
        <f t="shared" si="36"/>
        <v>52800</v>
      </c>
      <c r="AB63">
        <f t="shared" si="37"/>
        <v>11</v>
      </c>
      <c r="AC63">
        <f t="shared" si="29"/>
        <v>22</v>
      </c>
      <c r="AD63">
        <f t="shared" si="29"/>
        <v>44</v>
      </c>
      <c r="AE63">
        <f t="shared" si="29"/>
        <v>88</v>
      </c>
    </row>
    <row r="64" spans="1:31" x14ac:dyDescent="0.2">
      <c r="F64">
        <v>8</v>
      </c>
      <c r="G64">
        <f t="shared" si="30"/>
        <v>18</v>
      </c>
      <c r="H64">
        <f t="shared" si="31"/>
        <v>28</v>
      </c>
      <c r="J64">
        <f t="shared" si="21"/>
        <v>2.3333333333333335</v>
      </c>
      <c r="K64">
        <f t="shared" si="21"/>
        <v>4.666666666666667</v>
      </c>
      <c r="L64">
        <f t="shared" si="21"/>
        <v>9.3333333333333339</v>
      </c>
      <c r="M64">
        <f t="shared" si="22"/>
        <v>18.666666666666668</v>
      </c>
      <c r="P64">
        <f t="shared" si="23"/>
        <v>14</v>
      </c>
      <c r="Q64">
        <f t="shared" si="24"/>
        <v>140</v>
      </c>
      <c r="R64">
        <f t="shared" si="38"/>
        <v>8400</v>
      </c>
      <c r="S64">
        <f t="shared" si="32"/>
        <v>28</v>
      </c>
      <c r="T64">
        <f t="shared" si="33"/>
        <v>280</v>
      </c>
      <c r="U64">
        <f t="shared" si="34"/>
        <v>16800</v>
      </c>
      <c r="V64">
        <f t="shared" si="26"/>
        <v>33600</v>
      </c>
      <c r="W64">
        <f t="shared" si="27"/>
        <v>67200</v>
      </c>
      <c r="X64">
        <f t="shared" si="35"/>
        <v>18.666666666666664</v>
      </c>
      <c r="Y64">
        <f t="shared" si="28"/>
        <v>186.66666666666666</v>
      </c>
      <c r="Z64">
        <f t="shared" si="36"/>
        <v>67200</v>
      </c>
      <c r="AB64">
        <f t="shared" si="37"/>
        <v>14</v>
      </c>
      <c r="AC64">
        <f t="shared" si="29"/>
        <v>28</v>
      </c>
      <c r="AD64">
        <f t="shared" si="29"/>
        <v>56</v>
      </c>
      <c r="AE64">
        <f t="shared" si="29"/>
        <v>112</v>
      </c>
    </row>
    <row r="65" spans="6:31" x14ac:dyDescent="0.2">
      <c r="F65">
        <v>9</v>
      </c>
      <c r="G65">
        <f t="shared" si="30"/>
        <v>27</v>
      </c>
      <c r="H65">
        <f t="shared" si="31"/>
        <v>37</v>
      </c>
      <c r="J65">
        <f t="shared" si="21"/>
        <v>3.0833333333333335</v>
      </c>
      <c r="K65">
        <f t="shared" si="21"/>
        <v>6.166666666666667</v>
      </c>
      <c r="L65">
        <f t="shared" si="21"/>
        <v>12.333333333333334</v>
      </c>
      <c r="M65">
        <f t="shared" si="22"/>
        <v>24.666666666666668</v>
      </c>
      <c r="P65">
        <f t="shared" si="23"/>
        <v>18.5</v>
      </c>
      <c r="Q65">
        <f t="shared" si="24"/>
        <v>185</v>
      </c>
      <c r="R65">
        <f t="shared" si="38"/>
        <v>11100</v>
      </c>
      <c r="S65">
        <f t="shared" si="32"/>
        <v>37</v>
      </c>
      <c r="T65">
        <f t="shared" si="33"/>
        <v>370</v>
      </c>
      <c r="U65">
        <f t="shared" si="34"/>
        <v>22200</v>
      </c>
      <c r="V65">
        <f t="shared" si="26"/>
        <v>44400</v>
      </c>
      <c r="W65">
        <f t="shared" si="27"/>
        <v>88800</v>
      </c>
      <c r="X65">
        <f t="shared" si="35"/>
        <v>24.666666666666664</v>
      </c>
      <c r="Y65">
        <f t="shared" si="28"/>
        <v>246.66666666666666</v>
      </c>
      <c r="Z65">
        <f t="shared" si="36"/>
        <v>88800</v>
      </c>
      <c r="AB65">
        <f t="shared" si="37"/>
        <v>18.5</v>
      </c>
      <c r="AC65">
        <f t="shared" si="29"/>
        <v>37</v>
      </c>
      <c r="AD65">
        <f t="shared" si="29"/>
        <v>74</v>
      </c>
      <c r="AE65">
        <f t="shared" si="29"/>
        <v>148</v>
      </c>
    </row>
    <row r="66" spans="6:31" x14ac:dyDescent="0.2">
      <c r="F66">
        <v>10</v>
      </c>
      <c r="G66">
        <f t="shared" si="30"/>
        <v>37</v>
      </c>
      <c r="H66">
        <f t="shared" si="31"/>
        <v>47</v>
      </c>
      <c r="J66">
        <f t="shared" si="21"/>
        <v>3.9166666666666665</v>
      </c>
      <c r="K66">
        <f t="shared" si="21"/>
        <v>7.833333333333333</v>
      </c>
      <c r="L66">
        <f t="shared" si="21"/>
        <v>15.666666666666666</v>
      </c>
      <c r="M66">
        <f t="shared" si="22"/>
        <v>31.333333333333332</v>
      </c>
      <c r="P66">
        <f t="shared" si="23"/>
        <v>23.5</v>
      </c>
      <c r="Q66">
        <f t="shared" si="24"/>
        <v>235</v>
      </c>
      <c r="R66">
        <f t="shared" si="38"/>
        <v>14100</v>
      </c>
      <c r="S66">
        <f t="shared" si="32"/>
        <v>47</v>
      </c>
      <c r="T66">
        <f t="shared" si="33"/>
        <v>470</v>
      </c>
      <c r="U66">
        <f t="shared" si="34"/>
        <v>28200</v>
      </c>
      <c r="V66">
        <f t="shared" si="26"/>
        <v>56400</v>
      </c>
      <c r="W66">
        <f t="shared" si="27"/>
        <v>112800</v>
      </c>
      <c r="X66">
        <f t="shared" si="35"/>
        <v>31.333333333333332</v>
      </c>
      <c r="Y66">
        <f t="shared" si="28"/>
        <v>313.33333333333331</v>
      </c>
      <c r="Z66">
        <f t="shared" si="36"/>
        <v>112800</v>
      </c>
      <c r="AB66">
        <f t="shared" si="37"/>
        <v>23.5</v>
      </c>
      <c r="AC66">
        <f t="shared" si="29"/>
        <v>47</v>
      </c>
      <c r="AD66">
        <f t="shared" si="29"/>
        <v>94</v>
      </c>
      <c r="AE66">
        <f t="shared" si="29"/>
        <v>188</v>
      </c>
    </row>
    <row r="67" spans="6:31" x14ac:dyDescent="0.2">
      <c r="F67">
        <v>11</v>
      </c>
      <c r="G67">
        <f t="shared" si="30"/>
        <v>49</v>
      </c>
      <c r="H67">
        <f t="shared" si="31"/>
        <v>59</v>
      </c>
      <c r="J67">
        <f t="shared" si="21"/>
        <v>4.916666666666667</v>
      </c>
      <c r="K67">
        <f t="shared" si="21"/>
        <v>9.8333333333333339</v>
      </c>
      <c r="L67">
        <f t="shared" si="21"/>
        <v>19.666666666666668</v>
      </c>
      <c r="M67">
        <f t="shared" si="22"/>
        <v>39.333333333333336</v>
      </c>
      <c r="P67">
        <f t="shared" si="23"/>
        <v>29.5</v>
      </c>
      <c r="Q67">
        <f t="shared" si="24"/>
        <v>295</v>
      </c>
      <c r="R67">
        <f t="shared" si="38"/>
        <v>17700</v>
      </c>
      <c r="S67">
        <f t="shared" si="32"/>
        <v>59</v>
      </c>
      <c r="T67">
        <f t="shared" si="33"/>
        <v>590</v>
      </c>
      <c r="U67">
        <f t="shared" si="34"/>
        <v>35400</v>
      </c>
      <c r="V67">
        <f t="shared" si="26"/>
        <v>70800</v>
      </c>
      <c r="W67">
        <f t="shared" si="27"/>
        <v>141600</v>
      </c>
      <c r="X67">
        <f t="shared" si="35"/>
        <v>39.333333333333329</v>
      </c>
      <c r="Y67">
        <f t="shared" si="28"/>
        <v>393.33333333333331</v>
      </c>
      <c r="Z67">
        <f t="shared" si="36"/>
        <v>141600</v>
      </c>
      <c r="AB67">
        <f t="shared" si="37"/>
        <v>29.5</v>
      </c>
      <c r="AC67">
        <f t="shared" si="29"/>
        <v>59</v>
      </c>
      <c r="AD67">
        <f t="shared" si="29"/>
        <v>118</v>
      </c>
      <c r="AE67">
        <f t="shared" si="29"/>
        <v>236</v>
      </c>
    </row>
    <row r="68" spans="6:31" x14ac:dyDescent="0.2">
      <c r="F68">
        <v>12</v>
      </c>
      <c r="G68">
        <f t="shared" si="30"/>
        <v>64</v>
      </c>
      <c r="H68">
        <f t="shared" si="31"/>
        <v>74</v>
      </c>
      <c r="J68">
        <f t="shared" si="21"/>
        <v>6.166666666666667</v>
      </c>
      <c r="K68">
        <f t="shared" si="21"/>
        <v>12.333333333333334</v>
      </c>
      <c r="L68">
        <f t="shared" si="21"/>
        <v>24.666666666666668</v>
      </c>
      <c r="M68">
        <f t="shared" si="22"/>
        <v>49.333333333333336</v>
      </c>
      <c r="P68">
        <f t="shared" si="23"/>
        <v>37</v>
      </c>
      <c r="Q68">
        <f t="shared" si="24"/>
        <v>370</v>
      </c>
      <c r="R68">
        <f t="shared" si="38"/>
        <v>22200</v>
      </c>
      <c r="S68">
        <f t="shared" si="32"/>
        <v>74</v>
      </c>
      <c r="T68">
        <f t="shared" si="33"/>
        <v>740</v>
      </c>
      <c r="U68">
        <f t="shared" si="34"/>
        <v>44400</v>
      </c>
      <c r="V68">
        <f t="shared" si="26"/>
        <v>88800</v>
      </c>
      <c r="W68">
        <f t="shared" si="27"/>
        <v>177600</v>
      </c>
      <c r="X68">
        <f t="shared" si="35"/>
        <v>49.333333333333329</v>
      </c>
      <c r="Y68">
        <f t="shared" si="28"/>
        <v>493.33333333333331</v>
      </c>
      <c r="Z68">
        <f t="shared" si="36"/>
        <v>177600</v>
      </c>
      <c r="AB68">
        <f t="shared" si="37"/>
        <v>37</v>
      </c>
      <c r="AC68">
        <f t="shared" si="29"/>
        <v>74</v>
      </c>
      <c r="AD68">
        <f t="shared" si="29"/>
        <v>148</v>
      </c>
      <c r="AE68">
        <f t="shared" si="29"/>
        <v>296</v>
      </c>
    </row>
    <row r="69" spans="6:31" x14ac:dyDescent="0.2">
      <c r="F69">
        <v>13</v>
      </c>
      <c r="G69">
        <f t="shared" si="30"/>
        <v>81</v>
      </c>
      <c r="H69">
        <f t="shared" si="31"/>
        <v>91</v>
      </c>
      <c r="J69">
        <f t="shared" si="21"/>
        <v>7.583333333333333</v>
      </c>
      <c r="K69">
        <f t="shared" si="21"/>
        <v>15.166666666666666</v>
      </c>
      <c r="L69">
        <f t="shared" si="21"/>
        <v>30.333333333333332</v>
      </c>
      <c r="M69">
        <f t="shared" si="22"/>
        <v>60.666666666666664</v>
      </c>
      <c r="P69">
        <f t="shared" si="23"/>
        <v>45.5</v>
      </c>
      <c r="Q69">
        <f t="shared" si="24"/>
        <v>455</v>
      </c>
      <c r="R69">
        <f t="shared" si="38"/>
        <v>27300</v>
      </c>
      <c r="S69">
        <f t="shared" si="32"/>
        <v>91</v>
      </c>
      <c r="T69">
        <f t="shared" si="33"/>
        <v>910</v>
      </c>
      <c r="U69">
        <f t="shared" si="34"/>
        <v>54600</v>
      </c>
      <c r="V69">
        <f t="shared" si="26"/>
        <v>109200</v>
      </c>
      <c r="W69">
        <f t="shared" si="27"/>
        <v>218400</v>
      </c>
      <c r="X69">
        <f t="shared" si="35"/>
        <v>60.666666666666664</v>
      </c>
      <c r="Y69">
        <f t="shared" si="28"/>
        <v>606.66666666666663</v>
      </c>
      <c r="Z69">
        <f t="shared" si="36"/>
        <v>218400</v>
      </c>
      <c r="AB69">
        <f t="shared" si="37"/>
        <v>45.5</v>
      </c>
      <c r="AC69">
        <f t="shared" si="29"/>
        <v>91</v>
      </c>
      <c r="AD69">
        <f t="shared" si="29"/>
        <v>182</v>
      </c>
      <c r="AE69">
        <f t="shared" si="29"/>
        <v>364</v>
      </c>
    </row>
    <row r="70" spans="6:31" x14ac:dyDescent="0.2">
      <c r="F70">
        <v>14</v>
      </c>
      <c r="G70">
        <f t="shared" si="30"/>
        <v>101</v>
      </c>
      <c r="H70">
        <f t="shared" si="31"/>
        <v>111</v>
      </c>
      <c r="J70">
        <f t="shared" si="21"/>
        <v>9.25</v>
      </c>
      <c r="K70">
        <f t="shared" si="21"/>
        <v>18.5</v>
      </c>
      <c r="L70">
        <f t="shared" si="21"/>
        <v>37</v>
      </c>
      <c r="M70">
        <f t="shared" si="22"/>
        <v>74</v>
      </c>
      <c r="P70">
        <f t="shared" si="23"/>
        <v>55.5</v>
      </c>
      <c r="Q70">
        <f t="shared" si="24"/>
        <v>555</v>
      </c>
      <c r="R70">
        <f t="shared" si="38"/>
        <v>33300</v>
      </c>
      <c r="S70">
        <f t="shared" si="32"/>
        <v>111</v>
      </c>
      <c r="T70">
        <f t="shared" si="33"/>
        <v>1110</v>
      </c>
      <c r="U70">
        <f t="shared" si="34"/>
        <v>66600</v>
      </c>
      <c r="V70">
        <f t="shared" si="26"/>
        <v>133200</v>
      </c>
      <c r="W70">
        <f t="shared" si="27"/>
        <v>266400</v>
      </c>
      <c r="X70">
        <f t="shared" si="35"/>
        <v>74</v>
      </c>
      <c r="Y70">
        <f t="shared" si="28"/>
        <v>740</v>
      </c>
      <c r="Z70">
        <f t="shared" si="36"/>
        <v>266400</v>
      </c>
      <c r="AB70">
        <f t="shared" si="37"/>
        <v>55.5</v>
      </c>
      <c r="AC70">
        <f t="shared" si="29"/>
        <v>111</v>
      </c>
      <c r="AD70">
        <f t="shared" si="29"/>
        <v>222</v>
      </c>
      <c r="AE70">
        <f t="shared" si="29"/>
        <v>444</v>
      </c>
    </row>
    <row r="71" spans="6:31" x14ac:dyDescent="0.2">
      <c r="F71">
        <v>15</v>
      </c>
      <c r="G71">
        <f t="shared" si="30"/>
        <v>125</v>
      </c>
      <c r="H71">
        <f t="shared" si="31"/>
        <v>135</v>
      </c>
      <c r="J71">
        <f t="shared" si="21"/>
        <v>11.25</v>
      </c>
      <c r="K71">
        <f t="shared" si="21"/>
        <v>22.5</v>
      </c>
      <c r="L71">
        <f t="shared" si="21"/>
        <v>45</v>
      </c>
      <c r="M71">
        <f t="shared" si="22"/>
        <v>90</v>
      </c>
      <c r="P71">
        <f t="shared" si="23"/>
        <v>67.5</v>
      </c>
      <c r="Q71">
        <f t="shared" si="24"/>
        <v>675</v>
      </c>
      <c r="R71">
        <f t="shared" si="38"/>
        <v>40500</v>
      </c>
      <c r="S71">
        <f t="shared" si="32"/>
        <v>135</v>
      </c>
      <c r="T71">
        <f t="shared" si="33"/>
        <v>1350</v>
      </c>
      <c r="U71">
        <f t="shared" si="34"/>
        <v>81000</v>
      </c>
      <c r="V71">
        <f t="shared" si="26"/>
        <v>162000</v>
      </c>
      <c r="W71">
        <f t="shared" si="27"/>
        <v>324000</v>
      </c>
      <c r="X71">
        <f t="shared" si="35"/>
        <v>90</v>
      </c>
      <c r="Y71">
        <f t="shared" si="28"/>
        <v>900</v>
      </c>
      <c r="Z71">
        <f t="shared" si="36"/>
        <v>324000</v>
      </c>
      <c r="AB71">
        <f t="shared" si="37"/>
        <v>67.5</v>
      </c>
      <c r="AC71">
        <f t="shared" si="29"/>
        <v>135</v>
      </c>
      <c r="AD71">
        <f t="shared" si="29"/>
        <v>270</v>
      </c>
      <c r="AE71">
        <f t="shared" si="29"/>
        <v>540</v>
      </c>
    </row>
    <row r="72" spans="6:31" x14ac:dyDescent="0.2">
      <c r="F72">
        <v>16</v>
      </c>
      <c r="G72">
        <f t="shared" si="30"/>
        <v>151</v>
      </c>
      <c r="H72">
        <f t="shared" si="31"/>
        <v>161</v>
      </c>
      <c r="J72">
        <f t="shared" si="21"/>
        <v>13.416666666666666</v>
      </c>
      <c r="K72">
        <f t="shared" si="21"/>
        <v>26.833333333333332</v>
      </c>
      <c r="L72">
        <f t="shared" si="21"/>
        <v>53.666666666666664</v>
      </c>
      <c r="M72">
        <f t="shared" si="22"/>
        <v>107.33333333333333</v>
      </c>
      <c r="P72">
        <f t="shared" si="23"/>
        <v>80.5</v>
      </c>
      <c r="Q72">
        <f t="shared" si="24"/>
        <v>805</v>
      </c>
      <c r="R72">
        <f t="shared" si="38"/>
        <v>48300</v>
      </c>
      <c r="S72">
        <f t="shared" si="32"/>
        <v>161</v>
      </c>
      <c r="T72">
        <f t="shared" si="33"/>
        <v>1610</v>
      </c>
      <c r="U72">
        <f t="shared" si="34"/>
        <v>96600</v>
      </c>
      <c r="V72">
        <f t="shared" si="26"/>
        <v>193200</v>
      </c>
      <c r="W72">
        <f t="shared" si="27"/>
        <v>386400</v>
      </c>
      <c r="X72">
        <f t="shared" si="35"/>
        <v>107.33333333333333</v>
      </c>
      <c r="Y72">
        <f t="shared" si="28"/>
        <v>1073.3333333333333</v>
      </c>
      <c r="Z72">
        <f t="shared" si="36"/>
        <v>386400</v>
      </c>
      <c r="AB72">
        <f t="shared" si="37"/>
        <v>80.5</v>
      </c>
      <c r="AC72">
        <f t="shared" si="29"/>
        <v>161</v>
      </c>
      <c r="AD72">
        <f t="shared" si="29"/>
        <v>322</v>
      </c>
      <c r="AE72">
        <f t="shared" si="29"/>
        <v>644</v>
      </c>
    </row>
    <row r="73" spans="6:31" x14ac:dyDescent="0.2">
      <c r="F73">
        <v>17</v>
      </c>
      <c r="G73">
        <f t="shared" si="30"/>
        <v>181</v>
      </c>
      <c r="H73">
        <f t="shared" si="31"/>
        <v>191</v>
      </c>
      <c r="J73">
        <f t="shared" si="21"/>
        <v>15.916666666666666</v>
      </c>
      <c r="K73">
        <f t="shared" si="21"/>
        <v>31.833333333333332</v>
      </c>
      <c r="L73">
        <f t="shared" si="21"/>
        <v>63.666666666666664</v>
      </c>
      <c r="M73">
        <f t="shared" si="22"/>
        <v>127.33333333333333</v>
      </c>
      <c r="P73">
        <f t="shared" si="23"/>
        <v>95.5</v>
      </c>
      <c r="Q73">
        <f t="shared" si="24"/>
        <v>955</v>
      </c>
      <c r="R73">
        <f t="shared" si="38"/>
        <v>57300</v>
      </c>
      <c r="S73">
        <f t="shared" si="32"/>
        <v>191</v>
      </c>
      <c r="T73">
        <f t="shared" si="33"/>
        <v>1910</v>
      </c>
      <c r="U73">
        <f t="shared" si="34"/>
        <v>114600</v>
      </c>
      <c r="V73">
        <f t="shared" si="26"/>
        <v>229200</v>
      </c>
      <c r="W73">
        <f t="shared" si="27"/>
        <v>458400</v>
      </c>
      <c r="X73">
        <f t="shared" si="35"/>
        <v>127.33333333333333</v>
      </c>
      <c r="Y73">
        <f t="shared" si="28"/>
        <v>1273.3333333333333</v>
      </c>
      <c r="Z73">
        <f t="shared" si="36"/>
        <v>458400</v>
      </c>
      <c r="AB73">
        <f t="shared" si="37"/>
        <v>95.5</v>
      </c>
      <c r="AC73">
        <f t="shared" si="29"/>
        <v>191</v>
      </c>
      <c r="AD73">
        <f t="shared" si="29"/>
        <v>382</v>
      </c>
      <c r="AE73">
        <f t="shared" si="29"/>
        <v>764</v>
      </c>
    </row>
    <row r="74" spans="6:31" x14ac:dyDescent="0.2">
      <c r="F74">
        <v>18</v>
      </c>
      <c r="G74">
        <f t="shared" si="30"/>
        <v>216</v>
      </c>
      <c r="H74">
        <f t="shared" si="31"/>
        <v>226</v>
      </c>
      <c r="J74">
        <f t="shared" si="21"/>
        <v>18.833333333333332</v>
      </c>
      <c r="K74">
        <f t="shared" si="21"/>
        <v>37.666666666666664</v>
      </c>
      <c r="L74">
        <f t="shared" si="21"/>
        <v>75.333333333333329</v>
      </c>
      <c r="M74">
        <f t="shared" si="22"/>
        <v>150.66666666666666</v>
      </c>
      <c r="P74">
        <f t="shared" si="23"/>
        <v>113</v>
      </c>
      <c r="Q74">
        <f t="shared" si="24"/>
        <v>1130</v>
      </c>
      <c r="R74">
        <f t="shared" si="38"/>
        <v>67800</v>
      </c>
      <c r="S74">
        <f t="shared" si="32"/>
        <v>226</v>
      </c>
      <c r="T74">
        <f t="shared" si="33"/>
        <v>2260</v>
      </c>
      <c r="U74">
        <f t="shared" si="34"/>
        <v>135600</v>
      </c>
      <c r="V74">
        <f t="shared" si="26"/>
        <v>271200</v>
      </c>
      <c r="W74">
        <f t="shared" si="27"/>
        <v>542400</v>
      </c>
      <c r="X74">
        <f t="shared" si="35"/>
        <v>150.66666666666669</v>
      </c>
      <c r="Y74">
        <f t="shared" si="28"/>
        <v>1506.6666666666667</v>
      </c>
      <c r="Z74">
        <f t="shared" si="36"/>
        <v>542400</v>
      </c>
      <c r="AB74">
        <f t="shared" si="37"/>
        <v>113</v>
      </c>
      <c r="AC74">
        <f t="shared" si="29"/>
        <v>226</v>
      </c>
      <c r="AD74">
        <f t="shared" si="29"/>
        <v>452</v>
      </c>
      <c r="AE74">
        <f t="shared" si="29"/>
        <v>904</v>
      </c>
    </row>
    <row r="75" spans="6:31" x14ac:dyDescent="0.2">
      <c r="F75">
        <v>19</v>
      </c>
      <c r="G75">
        <f t="shared" si="30"/>
        <v>254</v>
      </c>
      <c r="H75">
        <f t="shared" si="31"/>
        <v>264</v>
      </c>
      <c r="J75">
        <f t="shared" si="21"/>
        <v>22</v>
      </c>
      <c r="K75">
        <f t="shared" si="21"/>
        <v>44</v>
      </c>
      <c r="L75">
        <f t="shared" si="21"/>
        <v>88</v>
      </c>
      <c r="M75">
        <f t="shared" si="22"/>
        <v>176</v>
      </c>
      <c r="P75">
        <f t="shared" si="23"/>
        <v>132</v>
      </c>
      <c r="Q75">
        <f t="shared" si="24"/>
        <v>1320</v>
      </c>
      <c r="R75">
        <f t="shared" si="38"/>
        <v>79200</v>
      </c>
      <c r="S75">
        <f t="shared" si="32"/>
        <v>264</v>
      </c>
      <c r="T75">
        <f t="shared" si="33"/>
        <v>2640</v>
      </c>
      <c r="U75">
        <f t="shared" si="34"/>
        <v>158400</v>
      </c>
      <c r="V75">
        <f t="shared" si="26"/>
        <v>316800</v>
      </c>
      <c r="W75">
        <f t="shared" si="27"/>
        <v>633600</v>
      </c>
      <c r="X75">
        <f t="shared" si="35"/>
        <v>176</v>
      </c>
      <c r="Y75">
        <f t="shared" si="28"/>
        <v>1760</v>
      </c>
      <c r="Z75">
        <f t="shared" si="36"/>
        <v>633600</v>
      </c>
      <c r="AB75">
        <f t="shared" si="37"/>
        <v>132</v>
      </c>
      <c r="AC75">
        <f t="shared" si="29"/>
        <v>264</v>
      </c>
      <c r="AD75">
        <f t="shared" si="29"/>
        <v>528</v>
      </c>
      <c r="AE75">
        <f t="shared" si="29"/>
        <v>1056</v>
      </c>
    </row>
    <row r="76" spans="6:31" x14ac:dyDescent="0.2">
      <c r="F76">
        <v>20</v>
      </c>
      <c r="G76">
        <f t="shared" si="30"/>
        <v>296</v>
      </c>
      <c r="H76">
        <f t="shared" si="31"/>
        <v>306</v>
      </c>
      <c r="J76">
        <f t="shared" si="21"/>
        <v>25.5</v>
      </c>
      <c r="K76">
        <f t="shared" si="21"/>
        <v>51</v>
      </c>
      <c r="L76">
        <f t="shared" si="21"/>
        <v>102</v>
      </c>
      <c r="M76">
        <f t="shared" si="22"/>
        <v>204</v>
      </c>
      <c r="P76">
        <f t="shared" si="23"/>
        <v>153</v>
      </c>
      <c r="Q76">
        <f t="shared" si="24"/>
        <v>1530</v>
      </c>
      <c r="R76">
        <f t="shared" si="38"/>
        <v>91800</v>
      </c>
      <c r="S76">
        <f t="shared" si="32"/>
        <v>306</v>
      </c>
      <c r="T76">
        <f t="shared" si="33"/>
        <v>3060</v>
      </c>
      <c r="U76">
        <f t="shared" si="34"/>
        <v>183600</v>
      </c>
      <c r="V76">
        <f t="shared" si="26"/>
        <v>367200</v>
      </c>
      <c r="W76">
        <f t="shared" si="27"/>
        <v>734400</v>
      </c>
      <c r="X76">
        <f t="shared" si="35"/>
        <v>204</v>
      </c>
      <c r="Y76">
        <f t="shared" si="28"/>
        <v>2040</v>
      </c>
      <c r="Z76">
        <f t="shared" si="36"/>
        <v>734400</v>
      </c>
      <c r="AB76">
        <f t="shared" si="37"/>
        <v>153</v>
      </c>
      <c r="AC76">
        <f t="shared" si="29"/>
        <v>306</v>
      </c>
      <c r="AD76">
        <f t="shared" si="29"/>
        <v>612</v>
      </c>
      <c r="AE76">
        <f t="shared" si="29"/>
        <v>1224</v>
      </c>
    </row>
    <row r="77" spans="6:31" x14ac:dyDescent="0.2">
      <c r="F77">
        <v>65</v>
      </c>
      <c r="G77">
        <f t="shared" si="30"/>
        <v>10171</v>
      </c>
      <c r="H77">
        <f t="shared" si="31"/>
        <v>10181</v>
      </c>
      <c r="J77">
        <f t="shared" si="21"/>
        <v>848.41666666666663</v>
      </c>
      <c r="K77">
        <f t="shared" si="21"/>
        <v>1696.8333333333333</v>
      </c>
      <c r="L77">
        <f t="shared" si="21"/>
        <v>3393.6666666666665</v>
      </c>
      <c r="M77">
        <f t="shared" si="22"/>
        <v>6787.333333333333</v>
      </c>
      <c r="P77">
        <f t="shared" si="23"/>
        <v>5090.5</v>
      </c>
      <c r="Q77">
        <f t="shared" si="24"/>
        <v>50905</v>
      </c>
      <c r="R77">
        <f t="shared" si="38"/>
        <v>3054300</v>
      </c>
      <c r="S77">
        <f t="shared" si="32"/>
        <v>10181</v>
      </c>
      <c r="T77">
        <f t="shared" si="33"/>
        <v>101810</v>
      </c>
      <c r="U77">
        <f t="shared" si="34"/>
        <v>6108600</v>
      </c>
      <c r="V77">
        <f t="shared" si="26"/>
        <v>12217200</v>
      </c>
      <c r="W77">
        <f t="shared" si="27"/>
        <v>24434400</v>
      </c>
      <c r="X77">
        <f t="shared" si="35"/>
        <v>6787.333333333333</v>
      </c>
      <c r="Y77">
        <f t="shared" si="28"/>
        <v>67873.333333333328</v>
      </c>
      <c r="Z77">
        <f t="shared" si="36"/>
        <v>24434400</v>
      </c>
      <c r="AB77">
        <f t="shared" si="37"/>
        <v>5090.5</v>
      </c>
      <c r="AC77">
        <f t="shared" si="29"/>
        <v>10181</v>
      </c>
      <c r="AD77">
        <f t="shared" si="29"/>
        <v>20362</v>
      </c>
      <c r="AE77">
        <f t="shared" si="29"/>
        <v>40724</v>
      </c>
    </row>
    <row r="78" spans="6:31" x14ac:dyDescent="0.2">
      <c r="F78">
        <v>40</v>
      </c>
      <c r="G78">
        <f t="shared" si="30"/>
        <v>2370</v>
      </c>
      <c r="H78">
        <f t="shared" si="31"/>
        <v>2380</v>
      </c>
      <c r="J78">
        <f t="shared" si="21"/>
        <v>198.33333333333334</v>
      </c>
      <c r="K78">
        <f t="shared" si="21"/>
        <v>396.66666666666669</v>
      </c>
      <c r="L78">
        <f t="shared" si="21"/>
        <v>793.33333333333337</v>
      </c>
      <c r="M78">
        <f t="shared" si="22"/>
        <v>1586.6666666666667</v>
      </c>
      <c r="P78">
        <f t="shared" si="23"/>
        <v>1190</v>
      </c>
      <c r="Q78">
        <f t="shared" si="24"/>
        <v>11900</v>
      </c>
      <c r="R78">
        <f t="shared" si="38"/>
        <v>714000</v>
      </c>
      <c r="S78">
        <f t="shared" si="32"/>
        <v>2380</v>
      </c>
      <c r="T78">
        <f t="shared" si="33"/>
        <v>23800</v>
      </c>
      <c r="U78">
        <f t="shared" si="34"/>
        <v>1428000</v>
      </c>
      <c r="V78">
        <f t="shared" si="26"/>
        <v>2856000</v>
      </c>
      <c r="W78">
        <f t="shared" si="27"/>
        <v>5712000</v>
      </c>
      <c r="X78">
        <f t="shared" si="35"/>
        <v>1586.6666666666665</v>
      </c>
      <c r="Y78">
        <f t="shared" si="28"/>
        <v>15866.666666666666</v>
      </c>
      <c r="Z78">
        <f t="shared" si="36"/>
        <v>5712000</v>
      </c>
      <c r="AB78">
        <f t="shared" si="37"/>
        <v>1190</v>
      </c>
      <c r="AC78">
        <f t="shared" si="29"/>
        <v>2380</v>
      </c>
      <c r="AD78">
        <f t="shared" si="29"/>
        <v>4760</v>
      </c>
      <c r="AE78">
        <f t="shared" si="29"/>
        <v>9520</v>
      </c>
    </row>
    <row r="79" spans="6:31" x14ac:dyDescent="0.2">
      <c r="F79">
        <v>50</v>
      </c>
      <c r="G79">
        <f t="shared" si="30"/>
        <v>4629</v>
      </c>
      <c r="H79">
        <f t="shared" si="31"/>
        <v>4639</v>
      </c>
      <c r="J79">
        <f t="shared" si="21"/>
        <v>386.58333333333331</v>
      </c>
      <c r="K79">
        <f t="shared" si="21"/>
        <v>773.16666666666663</v>
      </c>
      <c r="L79">
        <f t="shared" si="21"/>
        <v>1546.3333333333333</v>
      </c>
      <c r="M79">
        <f t="shared" si="22"/>
        <v>3092.6666666666665</v>
      </c>
      <c r="P79">
        <f t="shared" si="23"/>
        <v>2319.5</v>
      </c>
      <c r="Q79">
        <f t="shared" si="24"/>
        <v>23195</v>
      </c>
      <c r="R79">
        <f t="shared" si="38"/>
        <v>1391700</v>
      </c>
      <c r="S79">
        <f t="shared" si="32"/>
        <v>4639</v>
      </c>
      <c r="T79">
        <f t="shared" si="33"/>
        <v>46390</v>
      </c>
      <c r="U79">
        <f t="shared" si="34"/>
        <v>2783400</v>
      </c>
      <c r="V79">
        <f t="shared" si="26"/>
        <v>5566800</v>
      </c>
      <c r="W79">
        <f t="shared" si="27"/>
        <v>11133600</v>
      </c>
      <c r="X79">
        <f t="shared" si="35"/>
        <v>3092.666666666667</v>
      </c>
      <c r="Y79">
        <f t="shared" si="28"/>
        <v>30926.666666666668</v>
      </c>
      <c r="Z79">
        <f t="shared" si="36"/>
        <v>11133600</v>
      </c>
      <c r="AB79">
        <f t="shared" si="37"/>
        <v>2319.5</v>
      </c>
      <c r="AC79">
        <f t="shared" si="29"/>
        <v>4639</v>
      </c>
      <c r="AD79">
        <f t="shared" si="29"/>
        <v>9278</v>
      </c>
      <c r="AE79">
        <f t="shared" si="29"/>
        <v>18556</v>
      </c>
    </row>
    <row r="80" spans="6:31" x14ac:dyDescent="0.2">
      <c r="F80">
        <v>60</v>
      </c>
      <c r="G80">
        <f t="shared" si="30"/>
        <v>8000</v>
      </c>
      <c r="H80">
        <f t="shared" si="31"/>
        <v>8010</v>
      </c>
      <c r="J80">
        <f t="shared" si="21"/>
        <v>667.5</v>
      </c>
      <c r="K80">
        <f t="shared" si="21"/>
        <v>1335</v>
      </c>
      <c r="L80">
        <f t="shared" si="21"/>
        <v>2670</v>
      </c>
      <c r="M80">
        <f t="shared" si="22"/>
        <v>5340</v>
      </c>
      <c r="P80">
        <f t="shared" si="23"/>
        <v>4005</v>
      </c>
      <c r="Q80">
        <f t="shared" si="24"/>
        <v>40050</v>
      </c>
      <c r="R80">
        <f t="shared" si="38"/>
        <v>2403000</v>
      </c>
      <c r="S80">
        <f t="shared" si="32"/>
        <v>8010</v>
      </c>
      <c r="T80">
        <f t="shared" si="33"/>
        <v>80100</v>
      </c>
      <c r="U80">
        <f t="shared" si="34"/>
        <v>4806000</v>
      </c>
      <c r="V80">
        <f t="shared" si="26"/>
        <v>9612000</v>
      </c>
      <c r="W80">
        <f t="shared" si="27"/>
        <v>19224000</v>
      </c>
      <c r="X80">
        <f t="shared" si="35"/>
        <v>5340</v>
      </c>
      <c r="Y80">
        <f t="shared" si="28"/>
        <v>53400</v>
      </c>
      <c r="Z80">
        <f t="shared" si="36"/>
        <v>19224000</v>
      </c>
      <c r="AB80">
        <f t="shared" si="37"/>
        <v>4005</v>
      </c>
      <c r="AC80">
        <f t="shared" si="29"/>
        <v>8010</v>
      </c>
      <c r="AD80">
        <f t="shared" si="29"/>
        <v>16020</v>
      </c>
      <c r="AE80">
        <f t="shared" si="29"/>
        <v>32040</v>
      </c>
    </row>
    <row r="81" spans="1:31" x14ac:dyDescent="0.2">
      <c r="F81">
        <v>70</v>
      </c>
      <c r="G81">
        <f t="shared" si="30"/>
        <v>12703</v>
      </c>
      <c r="H81">
        <f t="shared" si="31"/>
        <v>12713</v>
      </c>
      <c r="J81">
        <f t="shared" si="21"/>
        <v>1059.4166666666667</v>
      </c>
      <c r="K81">
        <f t="shared" si="21"/>
        <v>2118.8333333333335</v>
      </c>
      <c r="L81">
        <f t="shared" si="21"/>
        <v>4237.666666666667</v>
      </c>
      <c r="M81">
        <f t="shared" si="22"/>
        <v>8475.3333333333339</v>
      </c>
      <c r="P81">
        <f t="shared" si="23"/>
        <v>6356.5</v>
      </c>
      <c r="Q81">
        <f t="shared" si="24"/>
        <v>63565</v>
      </c>
      <c r="R81">
        <f t="shared" si="38"/>
        <v>3813900</v>
      </c>
      <c r="S81">
        <f t="shared" si="32"/>
        <v>12713</v>
      </c>
      <c r="T81">
        <f t="shared" si="33"/>
        <v>127130</v>
      </c>
      <c r="U81">
        <f t="shared" si="34"/>
        <v>7627800</v>
      </c>
      <c r="V81">
        <f t="shared" si="26"/>
        <v>15255600</v>
      </c>
      <c r="W81">
        <f t="shared" si="27"/>
        <v>30511200</v>
      </c>
      <c r="X81">
        <f t="shared" si="35"/>
        <v>8475.3333333333321</v>
      </c>
      <c r="Y81">
        <f t="shared" si="28"/>
        <v>84753.333333333328</v>
      </c>
      <c r="Z81">
        <f t="shared" si="36"/>
        <v>30511200</v>
      </c>
      <c r="AB81">
        <f t="shared" si="37"/>
        <v>6356.5</v>
      </c>
      <c r="AC81">
        <f t="shared" si="29"/>
        <v>12713</v>
      </c>
      <c r="AD81">
        <f t="shared" si="29"/>
        <v>25426</v>
      </c>
      <c r="AE81">
        <f t="shared" si="29"/>
        <v>50852</v>
      </c>
    </row>
    <row r="82" spans="1:31" x14ac:dyDescent="0.2">
      <c r="F82">
        <v>80</v>
      </c>
      <c r="G82">
        <f t="shared" si="30"/>
        <v>18962</v>
      </c>
      <c r="H82">
        <f t="shared" si="31"/>
        <v>18972</v>
      </c>
      <c r="J82">
        <f t="shared" si="21"/>
        <v>1581</v>
      </c>
      <c r="K82">
        <f t="shared" si="21"/>
        <v>3162</v>
      </c>
      <c r="L82">
        <f t="shared" si="21"/>
        <v>6324</v>
      </c>
      <c r="M82">
        <f t="shared" si="22"/>
        <v>12648</v>
      </c>
      <c r="P82">
        <f t="shared" si="23"/>
        <v>9486</v>
      </c>
      <c r="Q82">
        <f t="shared" si="24"/>
        <v>94860</v>
      </c>
      <c r="R82">
        <f t="shared" si="38"/>
        <v>5691600</v>
      </c>
      <c r="S82">
        <f t="shared" si="32"/>
        <v>18972</v>
      </c>
      <c r="T82">
        <f t="shared" si="33"/>
        <v>189720</v>
      </c>
      <c r="U82">
        <f t="shared" si="34"/>
        <v>11383200</v>
      </c>
      <c r="V82">
        <f t="shared" si="26"/>
        <v>22766400</v>
      </c>
      <c r="W82">
        <f t="shared" si="27"/>
        <v>45532800</v>
      </c>
      <c r="X82">
        <f t="shared" si="35"/>
        <v>12648</v>
      </c>
      <c r="Y82">
        <f t="shared" si="28"/>
        <v>126480</v>
      </c>
      <c r="Z82">
        <f t="shared" si="36"/>
        <v>45532800</v>
      </c>
      <c r="AB82">
        <f t="shared" si="37"/>
        <v>9486</v>
      </c>
      <c r="AC82">
        <f t="shared" si="29"/>
        <v>18972</v>
      </c>
      <c r="AD82">
        <f t="shared" si="29"/>
        <v>37944</v>
      </c>
      <c r="AE82">
        <f t="shared" si="29"/>
        <v>75888</v>
      </c>
    </row>
    <row r="83" spans="1:31" x14ac:dyDescent="0.2">
      <c r="F83">
        <v>90</v>
      </c>
      <c r="G83">
        <f t="shared" si="30"/>
        <v>27000</v>
      </c>
      <c r="H83">
        <f t="shared" si="31"/>
        <v>27010</v>
      </c>
      <c r="J83">
        <f t="shared" si="21"/>
        <v>2250.8333333333335</v>
      </c>
      <c r="K83">
        <f t="shared" si="21"/>
        <v>4501.666666666667</v>
      </c>
      <c r="L83">
        <f t="shared" si="21"/>
        <v>9003.3333333333339</v>
      </c>
      <c r="M83">
        <f t="shared" si="22"/>
        <v>18006.666666666668</v>
      </c>
      <c r="P83">
        <f t="shared" si="23"/>
        <v>13505</v>
      </c>
      <c r="Q83">
        <f t="shared" si="24"/>
        <v>135050</v>
      </c>
      <c r="R83">
        <f t="shared" si="38"/>
        <v>8103000</v>
      </c>
      <c r="S83">
        <f t="shared" si="32"/>
        <v>27010</v>
      </c>
      <c r="T83">
        <f t="shared" si="33"/>
        <v>270100</v>
      </c>
      <c r="U83">
        <f t="shared" si="34"/>
        <v>16206000</v>
      </c>
      <c r="V83">
        <f t="shared" si="26"/>
        <v>32412000</v>
      </c>
      <c r="W83">
        <f t="shared" si="27"/>
        <v>64824000</v>
      </c>
      <c r="X83">
        <f t="shared" si="35"/>
        <v>18006.666666666664</v>
      </c>
      <c r="Y83">
        <f t="shared" si="28"/>
        <v>180066.66666666666</v>
      </c>
      <c r="Z83">
        <f t="shared" si="36"/>
        <v>64824000</v>
      </c>
      <c r="AB83">
        <f t="shared" si="37"/>
        <v>13505</v>
      </c>
      <c r="AC83">
        <f t="shared" si="29"/>
        <v>27010</v>
      </c>
      <c r="AD83">
        <f t="shared" si="29"/>
        <v>54020</v>
      </c>
      <c r="AE83">
        <f t="shared" si="29"/>
        <v>108040</v>
      </c>
    </row>
    <row r="84" spans="1:31" x14ac:dyDescent="0.2">
      <c r="F84">
        <v>100</v>
      </c>
      <c r="G84">
        <f t="shared" si="30"/>
        <v>37037</v>
      </c>
      <c r="H84">
        <f t="shared" si="31"/>
        <v>37047</v>
      </c>
      <c r="J84">
        <f t="shared" si="21"/>
        <v>3087.25</v>
      </c>
      <c r="K84">
        <f t="shared" si="21"/>
        <v>6174.5</v>
      </c>
      <c r="L84">
        <f t="shared" si="21"/>
        <v>12349</v>
      </c>
      <c r="M84">
        <f t="shared" si="22"/>
        <v>24698</v>
      </c>
      <c r="P84">
        <f t="shared" si="23"/>
        <v>18523.5</v>
      </c>
      <c r="Q84">
        <f t="shared" si="24"/>
        <v>185235</v>
      </c>
      <c r="R84">
        <f t="shared" si="38"/>
        <v>11114100</v>
      </c>
      <c r="S84">
        <f t="shared" si="32"/>
        <v>37047</v>
      </c>
      <c r="T84">
        <f t="shared" si="33"/>
        <v>370470</v>
      </c>
      <c r="U84">
        <f t="shared" si="34"/>
        <v>22228200</v>
      </c>
      <c r="V84">
        <f t="shared" si="26"/>
        <v>44456400</v>
      </c>
      <c r="W84">
        <f t="shared" si="27"/>
        <v>88912800</v>
      </c>
      <c r="X84">
        <f t="shared" si="35"/>
        <v>24698</v>
      </c>
      <c r="Y84">
        <f t="shared" si="28"/>
        <v>246980</v>
      </c>
      <c r="Z84">
        <f t="shared" si="36"/>
        <v>88912800</v>
      </c>
      <c r="AB84">
        <f t="shared" si="37"/>
        <v>18523.5</v>
      </c>
      <c r="AC84">
        <f t="shared" si="29"/>
        <v>37047</v>
      </c>
      <c r="AD84">
        <f t="shared" si="29"/>
        <v>74094</v>
      </c>
      <c r="AE84">
        <f t="shared" si="29"/>
        <v>148188</v>
      </c>
    </row>
    <row r="85" spans="1:31" x14ac:dyDescent="0.2">
      <c r="F85">
        <v>200</v>
      </c>
      <c r="G85">
        <f t="shared" si="30"/>
        <v>296296</v>
      </c>
      <c r="H85">
        <f t="shared" si="31"/>
        <v>296306</v>
      </c>
      <c r="J85">
        <f t="shared" si="21"/>
        <v>24692.166666666668</v>
      </c>
      <c r="K85">
        <f t="shared" si="21"/>
        <v>49384.333333333336</v>
      </c>
      <c r="L85">
        <f t="shared" si="21"/>
        <v>98768.666666666672</v>
      </c>
      <c r="M85">
        <f t="shared" si="22"/>
        <v>197537.33333333334</v>
      </c>
      <c r="P85">
        <f t="shared" si="23"/>
        <v>148153</v>
      </c>
      <c r="Q85">
        <f t="shared" si="24"/>
        <v>1481530</v>
      </c>
      <c r="R85">
        <f t="shared" si="38"/>
        <v>88891800</v>
      </c>
      <c r="S85">
        <f t="shared" si="32"/>
        <v>296306</v>
      </c>
      <c r="T85">
        <f t="shared" si="33"/>
        <v>2963060</v>
      </c>
      <c r="U85">
        <f t="shared" si="34"/>
        <v>177783600</v>
      </c>
      <c r="V85">
        <f t="shared" si="26"/>
        <v>355567200</v>
      </c>
      <c r="W85">
        <f t="shared" si="27"/>
        <v>711134400</v>
      </c>
      <c r="X85">
        <f t="shared" si="35"/>
        <v>197537.33333333331</v>
      </c>
      <c r="Y85">
        <f t="shared" si="28"/>
        <v>1975373.3333333333</v>
      </c>
      <c r="Z85">
        <f t="shared" si="36"/>
        <v>711134400</v>
      </c>
      <c r="AB85">
        <f t="shared" si="37"/>
        <v>148153</v>
      </c>
      <c r="AC85">
        <f t="shared" si="29"/>
        <v>296306</v>
      </c>
      <c r="AD85">
        <f t="shared" si="29"/>
        <v>592612</v>
      </c>
      <c r="AE85">
        <f t="shared" si="29"/>
        <v>1185224</v>
      </c>
    </row>
    <row r="86" spans="1:31" x14ac:dyDescent="0.2">
      <c r="F86">
        <v>400</v>
      </c>
      <c r="G86">
        <f t="shared" si="30"/>
        <v>2370370</v>
      </c>
      <c r="H86">
        <f t="shared" si="31"/>
        <v>2370380</v>
      </c>
      <c r="J86">
        <f t="shared" si="21"/>
        <v>197531.66666666666</v>
      </c>
      <c r="K86">
        <f t="shared" si="21"/>
        <v>395063.33333333331</v>
      </c>
      <c r="L86">
        <f t="shared" si="21"/>
        <v>790126.66666666663</v>
      </c>
      <c r="M86">
        <f t="shared" si="22"/>
        <v>1580253.3333333333</v>
      </c>
      <c r="P86">
        <f t="shared" si="23"/>
        <v>1185190</v>
      </c>
      <c r="Q86">
        <f t="shared" si="24"/>
        <v>11851900</v>
      </c>
      <c r="R86">
        <f t="shared" si="38"/>
        <v>711114000</v>
      </c>
      <c r="S86">
        <f t="shared" si="32"/>
        <v>2370380</v>
      </c>
      <c r="T86">
        <f t="shared" si="33"/>
        <v>23703800</v>
      </c>
      <c r="U86">
        <f t="shared" si="34"/>
        <v>1422228000</v>
      </c>
      <c r="V86">
        <f t="shared" si="26"/>
        <v>2844456000</v>
      </c>
      <c r="W86">
        <f t="shared" si="27"/>
        <v>5688912000</v>
      </c>
      <c r="X86">
        <f t="shared" si="35"/>
        <v>1580253.3333333335</v>
      </c>
      <c r="Y86">
        <f t="shared" si="28"/>
        <v>15802533.333333334</v>
      </c>
      <c r="Z86">
        <f t="shared" si="36"/>
        <v>5688912000</v>
      </c>
      <c r="AB86">
        <f t="shared" si="37"/>
        <v>1185190</v>
      </c>
      <c r="AC86">
        <f t="shared" si="29"/>
        <v>2370380</v>
      </c>
      <c r="AD86">
        <f t="shared" si="29"/>
        <v>4740760</v>
      </c>
      <c r="AE86">
        <f t="shared" si="29"/>
        <v>9481520</v>
      </c>
    </row>
    <row r="89" spans="1:31" x14ac:dyDescent="0.2">
      <c r="J89" t="s">
        <v>89</v>
      </c>
      <c r="N89" t="s">
        <v>91</v>
      </c>
    </row>
    <row r="90" spans="1:31" x14ac:dyDescent="0.2">
      <c r="A90" t="s">
        <v>74</v>
      </c>
      <c r="C90" t="s">
        <v>75</v>
      </c>
      <c r="E90" t="s">
        <v>76</v>
      </c>
      <c r="F90" t="s">
        <v>77</v>
      </c>
      <c r="G90" t="s">
        <v>5</v>
      </c>
      <c r="J90" t="s">
        <v>87</v>
      </c>
      <c r="K90" t="s">
        <v>75</v>
      </c>
      <c r="L90" t="s">
        <v>76</v>
      </c>
      <c r="N90" t="s">
        <v>93</v>
      </c>
      <c r="O90" t="s">
        <v>77</v>
      </c>
      <c r="P90" t="s">
        <v>5</v>
      </c>
    </row>
    <row r="91" spans="1:31" x14ac:dyDescent="0.2">
      <c r="A91" t="s">
        <v>81</v>
      </c>
      <c r="C91" t="s">
        <v>75</v>
      </c>
      <c r="E91" t="s">
        <v>76</v>
      </c>
      <c r="F91" t="s">
        <v>78</v>
      </c>
      <c r="G91" t="s">
        <v>79</v>
      </c>
      <c r="J91" t="s">
        <v>88</v>
      </c>
      <c r="K91" t="s">
        <v>86</v>
      </c>
      <c r="L91" t="s">
        <v>76</v>
      </c>
      <c r="N91" t="s">
        <v>94</v>
      </c>
      <c r="O91" t="s">
        <v>77</v>
      </c>
      <c r="P91" t="s">
        <v>5</v>
      </c>
    </row>
    <row r="92" spans="1:31" x14ac:dyDescent="0.2">
      <c r="A92" t="s">
        <v>80</v>
      </c>
      <c r="C92" t="s">
        <v>75</v>
      </c>
      <c r="E92" t="s">
        <v>76</v>
      </c>
      <c r="F92" t="s">
        <v>78</v>
      </c>
      <c r="G92" t="s">
        <v>79</v>
      </c>
      <c r="N92" t="s">
        <v>96</v>
      </c>
      <c r="O92" t="s">
        <v>77</v>
      </c>
    </row>
    <row r="93" spans="1:31" x14ac:dyDescent="0.2">
      <c r="A93" t="s">
        <v>82</v>
      </c>
      <c r="C93" t="s">
        <v>83</v>
      </c>
      <c r="E93" t="s">
        <v>76</v>
      </c>
      <c r="F93" t="s">
        <v>84</v>
      </c>
      <c r="J93" t="s">
        <v>90</v>
      </c>
      <c r="N93" t="s">
        <v>92</v>
      </c>
      <c r="O93" t="s">
        <v>78</v>
      </c>
      <c r="P93" t="s">
        <v>79</v>
      </c>
    </row>
    <row r="94" spans="1:31" x14ac:dyDescent="0.2">
      <c r="A94" t="s">
        <v>85</v>
      </c>
      <c r="C94" t="s">
        <v>86</v>
      </c>
      <c r="E94" t="s">
        <v>76</v>
      </c>
      <c r="F94" t="s">
        <v>77</v>
      </c>
      <c r="G94" t="s">
        <v>5</v>
      </c>
      <c r="J94" t="s">
        <v>81</v>
      </c>
      <c r="K94">
        <v>10</v>
      </c>
    </row>
    <row r="95" spans="1:31" x14ac:dyDescent="0.2">
      <c r="J95" t="s">
        <v>80</v>
      </c>
      <c r="K95" t="s">
        <v>75</v>
      </c>
      <c r="L95" t="s">
        <v>76</v>
      </c>
    </row>
    <row r="96" spans="1:31" x14ac:dyDescent="0.2">
      <c r="J96" t="s">
        <v>82</v>
      </c>
      <c r="K96" t="s">
        <v>83</v>
      </c>
      <c r="L96" t="s">
        <v>76</v>
      </c>
      <c r="N96" t="s">
        <v>95</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X57"/>
  <sheetViews>
    <sheetView workbookViewId="0">
      <selection activeCell="J37" sqref="J37"/>
    </sheetView>
  </sheetViews>
  <sheetFormatPr baseColWidth="10" defaultColWidth="8.83203125" defaultRowHeight="15" x14ac:dyDescent="0.2"/>
  <cols>
    <col min="9" max="9" width="12" bestFit="1" customWidth="1"/>
    <col min="15" max="16" width="12" bestFit="1" customWidth="1"/>
    <col min="19" max="19" width="12" bestFit="1" customWidth="1"/>
    <col min="20" max="20" width="19.5" customWidth="1"/>
    <col min="21" max="22" width="12" bestFit="1" customWidth="1"/>
    <col min="23" max="23" width="9" bestFit="1" customWidth="1"/>
    <col min="24" max="24" width="5" bestFit="1" customWidth="1"/>
  </cols>
  <sheetData>
    <row r="1" spans="1:24" x14ac:dyDescent="0.2">
      <c r="A1" t="s">
        <v>0</v>
      </c>
      <c r="F1" t="s">
        <v>14</v>
      </c>
      <c r="G1" t="s">
        <v>11</v>
      </c>
      <c r="H1" t="s">
        <v>12</v>
      </c>
      <c r="I1" t="s">
        <v>13</v>
      </c>
    </row>
    <row r="2" spans="1:24" x14ac:dyDescent="0.2">
      <c r="A2">
        <v>1</v>
      </c>
      <c r="C2">
        <v>0</v>
      </c>
      <c r="F2">
        <f>A2*A2</f>
        <v>1</v>
      </c>
      <c r="G2">
        <f>F2/7</f>
        <v>0.14285714285714285</v>
      </c>
      <c r="H2">
        <f>G2/24</f>
        <v>5.9523809523809521E-3</v>
      </c>
      <c r="I2">
        <f>H2/60</f>
        <v>9.9206349206349206E-5</v>
      </c>
      <c r="M2">
        <f>(A2+2)*5+1</f>
        <v>16</v>
      </c>
    </row>
    <row r="3" spans="1:24" x14ac:dyDescent="0.2">
      <c r="A3">
        <v>2</v>
      </c>
      <c r="C3">
        <f>(A3-1)*(A3-1)*100</f>
        <v>100</v>
      </c>
      <c r="D3">
        <f>(A3-1)*(A3-1)*500</f>
        <v>500</v>
      </c>
      <c r="F3">
        <f t="shared" ref="F3:F40" si="0">A3*A3</f>
        <v>4</v>
      </c>
      <c r="G3">
        <f t="shared" ref="G3:G40" si="1">F3/7</f>
        <v>0.5714285714285714</v>
      </c>
      <c r="H3">
        <f t="shared" ref="H3:H40" si="2">G3/24</f>
        <v>2.3809523809523808E-2</v>
      </c>
      <c r="I3">
        <f t="shared" ref="I3:I40" si="3">H3/60</f>
        <v>3.9682539682539683E-4</v>
      </c>
      <c r="M3">
        <f t="shared" ref="M3:M40" si="4">(A3+2)*5+1</f>
        <v>21</v>
      </c>
      <c r="S3">
        <v>12</v>
      </c>
      <c r="T3">
        <v>10</v>
      </c>
      <c r="U3">
        <v>8</v>
      </c>
      <c r="V3">
        <v>6</v>
      </c>
      <c r="W3">
        <v>4</v>
      </c>
      <c r="X3">
        <v>2</v>
      </c>
    </row>
    <row r="4" spans="1:24" x14ac:dyDescent="0.2">
      <c r="A4">
        <v>3</v>
      </c>
      <c r="C4">
        <f t="shared" ref="C4:C40" si="5">(A4-1)*(A4-1)*100</f>
        <v>400</v>
      </c>
      <c r="D4">
        <f t="shared" ref="D4:D40" si="6">(A4-1)*(A4-1)*500</f>
        <v>2000</v>
      </c>
      <c r="F4">
        <f t="shared" si="0"/>
        <v>9</v>
      </c>
      <c r="G4">
        <f t="shared" si="1"/>
        <v>1.2857142857142858</v>
      </c>
      <c r="H4">
        <f t="shared" si="2"/>
        <v>5.3571428571428575E-2</v>
      </c>
      <c r="I4">
        <f t="shared" si="3"/>
        <v>8.9285714285714294E-4</v>
      </c>
      <c r="M4">
        <f t="shared" si="4"/>
        <v>26</v>
      </c>
      <c r="R4">
        <v>5</v>
      </c>
      <c r="S4">
        <f>POWER(S$3,$R4/5-1)</f>
        <v>1</v>
      </c>
      <c r="T4">
        <f>POWER(T$3,$R4/5-1)</f>
        <v>1</v>
      </c>
      <c r="U4">
        <f t="shared" ref="U4:X17" si="7">POWER(U$3,$R4/5-1)</f>
        <v>1</v>
      </c>
      <c r="V4">
        <f t="shared" si="7"/>
        <v>1</v>
      </c>
      <c r="W4">
        <f t="shared" si="7"/>
        <v>1</v>
      </c>
      <c r="X4">
        <f t="shared" si="7"/>
        <v>1</v>
      </c>
    </row>
    <row r="5" spans="1:24" x14ac:dyDescent="0.2">
      <c r="A5" s="2">
        <v>4</v>
      </c>
      <c r="C5">
        <f t="shared" si="5"/>
        <v>900</v>
      </c>
      <c r="D5">
        <f t="shared" si="6"/>
        <v>4500</v>
      </c>
      <c r="F5">
        <f t="shared" si="0"/>
        <v>16</v>
      </c>
      <c r="G5">
        <f t="shared" si="1"/>
        <v>2.2857142857142856</v>
      </c>
      <c r="H5">
        <f t="shared" si="2"/>
        <v>9.5238095238095233E-2</v>
      </c>
      <c r="I5">
        <f t="shared" si="3"/>
        <v>1.5873015873015873E-3</v>
      </c>
      <c r="M5">
        <f t="shared" si="4"/>
        <v>31</v>
      </c>
      <c r="R5">
        <v>10</v>
      </c>
      <c r="S5">
        <f t="shared" ref="S5:S17" si="8">POWER(S$3,$R5/5-1)</f>
        <v>12</v>
      </c>
      <c r="T5">
        <f t="shared" ref="T5:T17" si="9">POWER(T$3,$R5/5-1)</f>
        <v>10</v>
      </c>
      <c r="U5">
        <f t="shared" si="7"/>
        <v>8</v>
      </c>
      <c r="V5">
        <f t="shared" si="7"/>
        <v>6</v>
      </c>
      <c r="W5">
        <f t="shared" si="7"/>
        <v>4</v>
      </c>
      <c r="X5">
        <f t="shared" si="7"/>
        <v>2</v>
      </c>
    </row>
    <row r="6" spans="1:24" x14ac:dyDescent="0.2">
      <c r="A6">
        <v>5</v>
      </c>
      <c r="C6">
        <f t="shared" si="5"/>
        <v>1600</v>
      </c>
      <c r="D6">
        <f t="shared" si="6"/>
        <v>8000</v>
      </c>
      <c r="F6">
        <f t="shared" si="0"/>
        <v>25</v>
      </c>
      <c r="G6">
        <f t="shared" si="1"/>
        <v>3.5714285714285716</v>
      </c>
      <c r="H6">
        <f t="shared" si="2"/>
        <v>0.14880952380952381</v>
      </c>
      <c r="I6">
        <f t="shared" si="3"/>
        <v>2.48015873015873E-3</v>
      </c>
      <c r="M6">
        <f t="shared" si="4"/>
        <v>36</v>
      </c>
      <c r="R6">
        <v>15</v>
      </c>
      <c r="S6">
        <f t="shared" si="8"/>
        <v>144</v>
      </c>
      <c r="T6">
        <f t="shared" si="9"/>
        <v>100</v>
      </c>
      <c r="U6">
        <f t="shared" si="7"/>
        <v>64</v>
      </c>
      <c r="V6">
        <f t="shared" si="7"/>
        <v>36</v>
      </c>
      <c r="W6">
        <f t="shared" si="7"/>
        <v>16</v>
      </c>
      <c r="X6">
        <f t="shared" si="7"/>
        <v>4</v>
      </c>
    </row>
    <row r="7" spans="1:24" x14ac:dyDescent="0.2">
      <c r="A7" s="2">
        <v>6</v>
      </c>
      <c r="C7">
        <f t="shared" si="5"/>
        <v>2500</v>
      </c>
      <c r="D7">
        <f t="shared" si="6"/>
        <v>12500</v>
      </c>
      <c r="F7">
        <f t="shared" si="0"/>
        <v>36</v>
      </c>
      <c r="G7">
        <f t="shared" si="1"/>
        <v>5.1428571428571432</v>
      </c>
      <c r="H7">
        <f t="shared" si="2"/>
        <v>0.2142857142857143</v>
      </c>
      <c r="I7">
        <f t="shared" si="3"/>
        <v>3.5714285714285718E-3</v>
      </c>
      <c r="M7">
        <f t="shared" si="4"/>
        <v>41</v>
      </c>
      <c r="R7">
        <v>20</v>
      </c>
      <c r="S7">
        <f t="shared" si="8"/>
        <v>1728</v>
      </c>
      <c r="T7">
        <f t="shared" si="9"/>
        <v>1000</v>
      </c>
      <c r="U7">
        <f t="shared" si="7"/>
        <v>512</v>
      </c>
      <c r="V7">
        <f t="shared" si="7"/>
        <v>216</v>
      </c>
      <c r="W7">
        <f t="shared" si="7"/>
        <v>64</v>
      </c>
      <c r="X7">
        <f t="shared" si="7"/>
        <v>8</v>
      </c>
    </row>
    <row r="8" spans="1:24" x14ac:dyDescent="0.2">
      <c r="A8">
        <v>7</v>
      </c>
      <c r="C8">
        <f t="shared" si="5"/>
        <v>3600</v>
      </c>
      <c r="D8">
        <f t="shared" si="6"/>
        <v>18000</v>
      </c>
      <c r="F8">
        <f t="shared" si="0"/>
        <v>49</v>
      </c>
      <c r="G8">
        <f t="shared" si="1"/>
        <v>7</v>
      </c>
      <c r="H8">
        <f t="shared" si="2"/>
        <v>0.29166666666666669</v>
      </c>
      <c r="I8">
        <f t="shared" si="3"/>
        <v>4.8611111111111112E-3</v>
      </c>
      <c r="M8">
        <f t="shared" si="4"/>
        <v>46</v>
      </c>
      <c r="R8">
        <v>25</v>
      </c>
      <c r="S8">
        <f t="shared" si="8"/>
        <v>20736</v>
      </c>
      <c r="T8">
        <f t="shared" si="9"/>
        <v>10000</v>
      </c>
      <c r="U8">
        <f t="shared" si="7"/>
        <v>4096</v>
      </c>
      <c r="V8">
        <f t="shared" si="7"/>
        <v>1296</v>
      </c>
      <c r="W8">
        <f t="shared" si="7"/>
        <v>256</v>
      </c>
      <c r="X8">
        <f t="shared" si="7"/>
        <v>16</v>
      </c>
    </row>
    <row r="9" spans="1:24" x14ac:dyDescent="0.2">
      <c r="A9">
        <v>8</v>
      </c>
      <c r="C9">
        <f t="shared" si="5"/>
        <v>4900</v>
      </c>
      <c r="D9">
        <f t="shared" si="6"/>
        <v>24500</v>
      </c>
      <c r="F9">
        <f t="shared" si="0"/>
        <v>64</v>
      </c>
      <c r="G9">
        <f t="shared" si="1"/>
        <v>9.1428571428571423</v>
      </c>
      <c r="H9">
        <f t="shared" si="2"/>
        <v>0.38095238095238093</v>
      </c>
      <c r="I9">
        <f t="shared" si="3"/>
        <v>6.3492063492063492E-3</v>
      </c>
      <c r="M9">
        <f t="shared" si="4"/>
        <v>51</v>
      </c>
      <c r="R9">
        <v>30</v>
      </c>
      <c r="S9">
        <f t="shared" si="8"/>
        <v>248832</v>
      </c>
      <c r="T9">
        <f t="shared" si="9"/>
        <v>100000</v>
      </c>
      <c r="U9">
        <f t="shared" si="7"/>
        <v>32768</v>
      </c>
      <c r="V9">
        <f t="shared" si="7"/>
        <v>7776</v>
      </c>
      <c r="W9">
        <f t="shared" si="7"/>
        <v>1024</v>
      </c>
      <c r="X9">
        <f t="shared" si="7"/>
        <v>32</v>
      </c>
    </row>
    <row r="10" spans="1:24" x14ac:dyDescent="0.2">
      <c r="A10">
        <v>9</v>
      </c>
      <c r="C10">
        <f t="shared" si="5"/>
        <v>6400</v>
      </c>
      <c r="D10">
        <f t="shared" si="6"/>
        <v>32000</v>
      </c>
      <c r="F10">
        <f t="shared" si="0"/>
        <v>81</v>
      </c>
      <c r="G10">
        <f t="shared" si="1"/>
        <v>11.571428571428571</v>
      </c>
      <c r="H10">
        <f t="shared" si="2"/>
        <v>0.48214285714285715</v>
      </c>
      <c r="I10">
        <f t="shared" si="3"/>
        <v>8.0357142857142867E-3</v>
      </c>
      <c r="M10">
        <f t="shared" si="4"/>
        <v>56</v>
      </c>
      <c r="R10">
        <v>35</v>
      </c>
      <c r="S10">
        <f t="shared" si="8"/>
        <v>2985984</v>
      </c>
      <c r="T10">
        <f t="shared" si="9"/>
        <v>1000000</v>
      </c>
      <c r="U10">
        <f t="shared" si="7"/>
        <v>262144</v>
      </c>
      <c r="V10">
        <f t="shared" si="7"/>
        <v>46656</v>
      </c>
      <c r="W10">
        <f t="shared" si="7"/>
        <v>4096</v>
      </c>
      <c r="X10">
        <f t="shared" si="7"/>
        <v>64</v>
      </c>
    </row>
    <row r="11" spans="1:24" x14ac:dyDescent="0.2">
      <c r="A11">
        <v>10</v>
      </c>
      <c r="C11">
        <f t="shared" si="5"/>
        <v>8100</v>
      </c>
      <c r="D11">
        <f t="shared" si="6"/>
        <v>40500</v>
      </c>
      <c r="F11">
        <f t="shared" si="0"/>
        <v>100</v>
      </c>
      <c r="G11">
        <f t="shared" si="1"/>
        <v>14.285714285714286</v>
      </c>
      <c r="H11">
        <f t="shared" si="2"/>
        <v>0.59523809523809523</v>
      </c>
      <c r="I11">
        <f t="shared" si="3"/>
        <v>9.9206349206349201E-3</v>
      </c>
      <c r="M11">
        <f t="shared" si="4"/>
        <v>61</v>
      </c>
      <c r="R11">
        <v>40</v>
      </c>
      <c r="S11">
        <f t="shared" si="8"/>
        <v>35831808</v>
      </c>
      <c r="T11">
        <f t="shared" si="9"/>
        <v>10000000</v>
      </c>
      <c r="U11">
        <f t="shared" si="7"/>
        <v>2097152</v>
      </c>
      <c r="V11">
        <f t="shared" si="7"/>
        <v>279936</v>
      </c>
      <c r="W11">
        <f t="shared" si="7"/>
        <v>16384</v>
      </c>
      <c r="X11">
        <f t="shared" si="7"/>
        <v>128</v>
      </c>
    </row>
    <row r="12" spans="1:24" x14ac:dyDescent="0.2">
      <c r="A12">
        <v>11</v>
      </c>
      <c r="C12">
        <f t="shared" si="5"/>
        <v>10000</v>
      </c>
      <c r="D12">
        <f t="shared" si="6"/>
        <v>50000</v>
      </c>
      <c r="F12">
        <f t="shared" si="0"/>
        <v>121</v>
      </c>
      <c r="G12">
        <f t="shared" si="1"/>
        <v>17.285714285714285</v>
      </c>
      <c r="H12">
        <f t="shared" si="2"/>
        <v>0.72023809523809523</v>
      </c>
      <c r="I12">
        <f t="shared" si="3"/>
        <v>1.2003968253968255E-2</v>
      </c>
      <c r="M12">
        <f t="shared" si="4"/>
        <v>66</v>
      </c>
      <c r="R12">
        <v>45</v>
      </c>
      <c r="S12">
        <f t="shared" si="8"/>
        <v>429981696</v>
      </c>
      <c r="T12">
        <f t="shared" si="9"/>
        <v>100000000</v>
      </c>
      <c r="U12">
        <f t="shared" si="7"/>
        <v>16777216</v>
      </c>
      <c r="V12">
        <f t="shared" si="7"/>
        <v>1679616</v>
      </c>
      <c r="W12">
        <f t="shared" si="7"/>
        <v>65536</v>
      </c>
      <c r="X12">
        <f t="shared" si="7"/>
        <v>256</v>
      </c>
    </row>
    <row r="13" spans="1:24" x14ac:dyDescent="0.2">
      <c r="A13">
        <v>12</v>
      </c>
      <c r="C13">
        <f t="shared" si="5"/>
        <v>12100</v>
      </c>
      <c r="D13">
        <f t="shared" si="6"/>
        <v>60500</v>
      </c>
      <c r="F13">
        <f t="shared" si="0"/>
        <v>144</v>
      </c>
      <c r="G13">
        <f t="shared" si="1"/>
        <v>20.571428571428573</v>
      </c>
      <c r="H13">
        <f t="shared" si="2"/>
        <v>0.85714285714285721</v>
      </c>
      <c r="I13">
        <f t="shared" si="3"/>
        <v>1.4285714285714287E-2</v>
      </c>
      <c r="M13">
        <f t="shared" si="4"/>
        <v>71</v>
      </c>
      <c r="R13">
        <v>50</v>
      </c>
      <c r="S13">
        <f t="shared" si="8"/>
        <v>5159780352</v>
      </c>
      <c r="T13">
        <f t="shared" si="9"/>
        <v>1000000000</v>
      </c>
      <c r="U13">
        <f t="shared" si="7"/>
        <v>134217728</v>
      </c>
      <c r="V13">
        <f t="shared" si="7"/>
        <v>10077696</v>
      </c>
      <c r="W13">
        <f t="shared" si="7"/>
        <v>262144</v>
      </c>
      <c r="X13">
        <f t="shared" si="7"/>
        <v>512</v>
      </c>
    </row>
    <row r="14" spans="1:24" x14ac:dyDescent="0.2">
      <c r="A14">
        <v>13</v>
      </c>
      <c r="C14">
        <f t="shared" si="5"/>
        <v>14400</v>
      </c>
      <c r="D14">
        <f t="shared" si="6"/>
        <v>72000</v>
      </c>
      <c r="F14">
        <f t="shared" si="0"/>
        <v>169</v>
      </c>
      <c r="G14">
        <f t="shared" si="1"/>
        <v>24.142857142857142</v>
      </c>
      <c r="H14">
        <f t="shared" si="2"/>
        <v>1.0059523809523809</v>
      </c>
      <c r="I14">
        <f t="shared" si="3"/>
        <v>1.6765873015873015E-2</v>
      </c>
      <c r="M14">
        <f t="shared" si="4"/>
        <v>76</v>
      </c>
      <c r="R14">
        <v>55</v>
      </c>
      <c r="S14">
        <f t="shared" si="8"/>
        <v>61917364224</v>
      </c>
      <c r="T14">
        <f t="shared" si="9"/>
        <v>10000000000</v>
      </c>
      <c r="U14">
        <f t="shared" si="7"/>
        <v>1073741824</v>
      </c>
      <c r="V14">
        <f t="shared" si="7"/>
        <v>60466176</v>
      </c>
      <c r="W14">
        <f t="shared" si="7"/>
        <v>1048576</v>
      </c>
      <c r="X14">
        <f t="shared" si="7"/>
        <v>1024</v>
      </c>
    </row>
    <row r="15" spans="1:24" x14ac:dyDescent="0.2">
      <c r="A15">
        <v>14</v>
      </c>
      <c r="C15">
        <f t="shared" si="5"/>
        <v>16900</v>
      </c>
      <c r="D15">
        <f t="shared" si="6"/>
        <v>84500</v>
      </c>
      <c r="F15">
        <f t="shared" si="0"/>
        <v>196</v>
      </c>
      <c r="G15">
        <f t="shared" si="1"/>
        <v>28</v>
      </c>
      <c r="H15">
        <f t="shared" si="2"/>
        <v>1.1666666666666667</v>
      </c>
      <c r="I15">
        <f t="shared" si="3"/>
        <v>1.9444444444444445E-2</v>
      </c>
      <c r="M15">
        <f t="shared" si="4"/>
        <v>81</v>
      </c>
      <c r="R15">
        <v>60</v>
      </c>
      <c r="S15">
        <f t="shared" si="8"/>
        <v>743008370688</v>
      </c>
      <c r="T15">
        <f t="shared" si="9"/>
        <v>100000000000</v>
      </c>
      <c r="U15">
        <f t="shared" si="7"/>
        <v>8589934592</v>
      </c>
      <c r="V15">
        <f t="shared" si="7"/>
        <v>362797056</v>
      </c>
      <c r="W15">
        <f t="shared" si="7"/>
        <v>4194304</v>
      </c>
      <c r="X15">
        <f t="shared" si="7"/>
        <v>2048</v>
      </c>
    </row>
    <row r="16" spans="1:24" x14ac:dyDescent="0.2">
      <c r="A16">
        <v>15</v>
      </c>
      <c r="C16">
        <f t="shared" si="5"/>
        <v>19600</v>
      </c>
      <c r="D16">
        <f t="shared" si="6"/>
        <v>98000</v>
      </c>
      <c r="F16">
        <f t="shared" si="0"/>
        <v>225</v>
      </c>
      <c r="G16">
        <f t="shared" si="1"/>
        <v>32.142857142857146</v>
      </c>
      <c r="H16">
        <f t="shared" si="2"/>
        <v>1.3392857142857144</v>
      </c>
      <c r="I16">
        <f t="shared" si="3"/>
        <v>2.2321428571428572E-2</v>
      </c>
      <c r="M16">
        <f t="shared" si="4"/>
        <v>86</v>
      </c>
      <c r="R16">
        <v>65</v>
      </c>
      <c r="S16">
        <f t="shared" si="8"/>
        <v>8916100448256</v>
      </c>
      <c r="T16">
        <f t="shared" si="9"/>
        <v>1000000000000</v>
      </c>
      <c r="U16">
        <f t="shared" si="7"/>
        <v>68719476736</v>
      </c>
      <c r="V16">
        <f t="shared" si="7"/>
        <v>2176782336</v>
      </c>
      <c r="W16">
        <f t="shared" si="7"/>
        <v>16777216</v>
      </c>
      <c r="X16">
        <f t="shared" si="7"/>
        <v>4096</v>
      </c>
    </row>
    <row r="17" spans="1:24" x14ac:dyDescent="0.2">
      <c r="A17">
        <v>16</v>
      </c>
      <c r="C17">
        <f t="shared" si="5"/>
        <v>22500</v>
      </c>
      <c r="D17">
        <f t="shared" si="6"/>
        <v>112500</v>
      </c>
      <c r="F17">
        <f t="shared" si="0"/>
        <v>256</v>
      </c>
      <c r="G17">
        <f t="shared" si="1"/>
        <v>36.571428571428569</v>
      </c>
      <c r="H17">
        <f t="shared" si="2"/>
        <v>1.5238095238095237</v>
      </c>
      <c r="I17">
        <f t="shared" si="3"/>
        <v>2.5396825396825397E-2</v>
      </c>
      <c r="M17">
        <f t="shared" si="4"/>
        <v>91</v>
      </c>
      <c r="R17">
        <v>70</v>
      </c>
      <c r="S17">
        <f t="shared" si="8"/>
        <v>106993205379072</v>
      </c>
      <c r="T17">
        <f t="shared" si="9"/>
        <v>10000000000000</v>
      </c>
      <c r="U17">
        <f t="shared" si="7"/>
        <v>549755813888</v>
      </c>
      <c r="V17">
        <f t="shared" si="7"/>
        <v>13060694016</v>
      </c>
      <c r="W17">
        <f t="shared" si="7"/>
        <v>67108864</v>
      </c>
      <c r="X17">
        <f t="shared" si="7"/>
        <v>8192</v>
      </c>
    </row>
    <row r="18" spans="1:24" x14ac:dyDescent="0.2">
      <c r="A18">
        <v>17</v>
      </c>
      <c r="C18">
        <f t="shared" si="5"/>
        <v>25600</v>
      </c>
      <c r="D18">
        <f t="shared" si="6"/>
        <v>128000</v>
      </c>
      <c r="F18">
        <f t="shared" si="0"/>
        <v>289</v>
      </c>
      <c r="G18">
        <f t="shared" si="1"/>
        <v>41.285714285714285</v>
      </c>
      <c r="H18">
        <f t="shared" si="2"/>
        <v>1.7202380952380951</v>
      </c>
      <c r="I18">
        <f t="shared" si="3"/>
        <v>2.8670634920634919E-2</v>
      </c>
      <c r="M18">
        <f t="shared" si="4"/>
        <v>96</v>
      </c>
      <c r="S18" t="s">
        <v>777</v>
      </c>
    </row>
    <row r="19" spans="1:24" x14ac:dyDescent="0.2">
      <c r="A19">
        <v>18</v>
      </c>
      <c r="C19">
        <f t="shared" si="5"/>
        <v>28900</v>
      </c>
      <c r="D19">
        <f t="shared" si="6"/>
        <v>144500</v>
      </c>
      <c r="F19">
        <f t="shared" si="0"/>
        <v>324</v>
      </c>
      <c r="G19">
        <f t="shared" si="1"/>
        <v>46.285714285714285</v>
      </c>
      <c r="H19">
        <f t="shared" si="2"/>
        <v>1.9285714285714286</v>
      </c>
      <c r="I19">
        <f t="shared" si="3"/>
        <v>3.2142857142857147E-2</v>
      </c>
      <c r="M19">
        <f t="shared" si="4"/>
        <v>101</v>
      </c>
    </row>
    <row r="20" spans="1:24" x14ac:dyDescent="0.2">
      <c r="A20">
        <v>19</v>
      </c>
      <c r="C20">
        <f t="shared" si="5"/>
        <v>32400</v>
      </c>
      <c r="D20">
        <f t="shared" si="6"/>
        <v>162000</v>
      </c>
      <c r="F20">
        <f t="shared" si="0"/>
        <v>361</v>
      </c>
      <c r="G20">
        <f t="shared" si="1"/>
        <v>51.571428571428569</v>
      </c>
      <c r="H20">
        <f t="shared" si="2"/>
        <v>2.1488095238095237</v>
      </c>
      <c r="I20">
        <f t="shared" si="3"/>
        <v>3.5813492063492061E-2</v>
      </c>
      <c r="M20">
        <f t="shared" si="4"/>
        <v>106</v>
      </c>
    </row>
    <row r="21" spans="1:24" x14ac:dyDescent="0.2">
      <c r="A21">
        <v>20</v>
      </c>
      <c r="C21">
        <f t="shared" si="5"/>
        <v>36100</v>
      </c>
      <c r="D21">
        <f t="shared" si="6"/>
        <v>180500</v>
      </c>
      <c r="F21">
        <f t="shared" si="0"/>
        <v>400</v>
      </c>
      <c r="G21">
        <f t="shared" si="1"/>
        <v>57.142857142857146</v>
      </c>
      <c r="H21">
        <f t="shared" si="2"/>
        <v>2.3809523809523809</v>
      </c>
      <c r="I21">
        <f t="shared" si="3"/>
        <v>3.968253968253968E-2</v>
      </c>
      <c r="M21">
        <f t="shared" si="4"/>
        <v>111</v>
      </c>
    </row>
    <row r="22" spans="1:24" x14ac:dyDescent="0.2">
      <c r="A22">
        <v>21</v>
      </c>
      <c r="C22">
        <f t="shared" si="5"/>
        <v>40000</v>
      </c>
      <c r="D22">
        <f t="shared" si="6"/>
        <v>200000</v>
      </c>
      <c r="F22">
        <f t="shared" si="0"/>
        <v>441</v>
      </c>
      <c r="G22">
        <f t="shared" si="1"/>
        <v>63</v>
      </c>
      <c r="H22">
        <f t="shared" si="2"/>
        <v>2.625</v>
      </c>
      <c r="I22">
        <f t="shared" si="3"/>
        <v>4.3749999999999997E-2</v>
      </c>
      <c r="M22">
        <f t="shared" si="4"/>
        <v>116</v>
      </c>
    </row>
    <row r="23" spans="1:24" x14ac:dyDescent="0.2">
      <c r="A23">
        <v>22</v>
      </c>
      <c r="C23">
        <f t="shared" si="5"/>
        <v>44100</v>
      </c>
      <c r="D23">
        <f t="shared" si="6"/>
        <v>220500</v>
      </c>
      <c r="F23">
        <f t="shared" si="0"/>
        <v>484</v>
      </c>
      <c r="G23">
        <f t="shared" si="1"/>
        <v>69.142857142857139</v>
      </c>
      <c r="H23">
        <f t="shared" si="2"/>
        <v>2.8809523809523809</v>
      </c>
      <c r="I23">
        <f t="shared" si="3"/>
        <v>4.8015873015873019E-2</v>
      </c>
      <c r="M23">
        <f t="shared" si="4"/>
        <v>121</v>
      </c>
    </row>
    <row r="24" spans="1:24" x14ac:dyDescent="0.2">
      <c r="A24">
        <v>23</v>
      </c>
      <c r="C24">
        <f t="shared" si="5"/>
        <v>48400</v>
      </c>
      <c r="D24">
        <f t="shared" si="6"/>
        <v>242000</v>
      </c>
      <c r="F24">
        <f t="shared" si="0"/>
        <v>529</v>
      </c>
      <c r="G24">
        <f t="shared" si="1"/>
        <v>75.571428571428569</v>
      </c>
      <c r="H24">
        <f t="shared" si="2"/>
        <v>3.1488095238095237</v>
      </c>
      <c r="I24">
        <f t="shared" si="3"/>
        <v>5.2480158730158731E-2</v>
      </c>
      <c r="M24">
        <f t="shared" si="4"/>
        <v>126</v>
      </c>
    </row>
    <row r="25" spans="1:24" x14ac:dyDescent="0.2">
      <c r="A25">
        <v>24</v>
      </c>
      <c r="C25">
        <f t="shared" si="5"/>
        <v>52900</v>
      </c>
      <c r="D25">
        <f t="shared" si="6"/>
        <v>264500</v>
      </c>
      <c r="F25">
        <f t="shared" si="0"/>
        <v>576</v>
      </c>
      <c r="G25">
        <f t="shared" si="1"/>
        <v>82.285714285714292</v>
      </c>
      <c r="H25">
        <f t="shared" si="2"/>
        <v>3.4285714285714288</v>
      </c>
      <c r="I25">
        <f t="shared" si="3"/>
        <v>5.7142857142857148E-2</v>
      </c>
      <c r="M25">
        <f t="shared" si="4"/>
        <v>131</v>
      </c>
    </row>
    <row r="26" spans="1:24" x14ac:dyDescent="0.2">
      <c r="A26">
        <v>25</v>
      </c>
      <c r="C26">
        <f t="shared" si="5"/>
        <v>57600</v>
      </c>
      <c r="D26">
        <f t="shared" si="6"/>
        <v>288000</v>
      </c>
      <c r="F26">
        <f t="shared" si="0"/>
        <v>625</v>
      </c>
      <c r="G26">
        <f t="shared" si="1"/>
        <v>89.285714285714292</v>
      </c>
      <c r="H26">
        <f t="shared" si="2"/>
        <v>3.7202380952380953</v>
      </c>
      <c r="I26">
        <f t="shared" si="3"/>
        <v>6.2003968253968256E-2</v>
      </c>
      <c r="M26">
        <f t="shared" si="4"/>
        <v>136</v>
      </c>
    </row>
    <row r="27" spans="1:24" x14ac:dyDescent="0.2">
      <c r="A27">
        <v>26</v>
      </c>
      <c r="C27">
        <f t="shared" si="5"/>
        <v>62500</v>
      </c>
      <c r="D27">
        <f t="shared" si="6"/>
        <v>312500</v>
      </c>
      <c r="F27">
        <f t="shared" si="0"/>
        <v>676</v>
      </c>
      <c r="G27">
        <f t="shared" si="1"/>
        <v>96.571428571428569</v>
      </c>
      <c r="H27">
        <f t="shared" si="2"/>
        <v>4.0238095238095237</v>
      </c>
      <c r="I27">
        <f t="shared" si="3"/>
        <v>6.7063492063492061E-2</v>
      </c>
      <c r="M27">
        <f t="shared" si="4"/>
        <v>141</v>
      </c>
    </row>
    <row r="28" spans="1:24" x14ac:dyDescent="0.2">
      <c r="A28">
        <v>27</v>
      </c>
      <c r="C28">
        <f t="shared" si="5"/>
        <v>67600</v>
      </c>
      <c r="D28">
        <f t="shared" si="6"/>
        <v>338000</v>
      </c>
      <c r="F28">
        <f t="shared" si="0"/>
        <v>729</v>
      </c>
      <c r="G28">
        <f t="shared" si="1"/>
        <v>104.14285714285714</v>
      </c>
      <c r="H28">
        <f t="shared" si="2"/>
        <v>4.3392857142857144</v>
      </c>
      <c r="I28">
        <f t="shared" si="3"/>
        <v>7.2321428571428578E-2</v>
      </c>
      <c r="M28">
        <f t="shared" si="4"/>
        <v>146</v>
      </c>
    </row>
    <row r="29" spans="1:24" x14ac:dyDescent="0.2">
      <c r="A29">
        <v>28</v>
      </c>
      <c r="C29">
        <f t="shared" si="5"/>
        <v>72900</v>
      </c>
      <c r="D29">
        <f t="shared" si="6"/>
        <v>364500</v>
      </c>
      <c r="F29">
        <f t="shared" si="0"/>
        <v>784</v>
      </c>
      <c r="G29">
        <f t="shared" si="1"/>
        <v>112</v>
      </c>
      <c r="H29">
        <f t="shared" si="2"/>
        <v>4.666666666666667</v>
      </c>
      <c r="I29">
        <f t="shared" si="3"/>
        <v>7.7777777777777779E-2</v>
      </c>
      <c r="M29">
        <f t="shared" si="4"/>
        <v>151</v>
      </c>
    </row>
    <row r="30" spans="1:24" x14ac:dyDescent="0.2">
      <c r="A30">
        <v>29</v>
      </c>
      <c r="C30">
        <f t="shared" si="5"/>
        <v>78400</v>
      </c>
      <c r="D30">
        <f t="shared" si="6"/>
        <v>392000</v>
      </c>
      <c r="F30">
        <f t="shared" si="0"/>
        <v>841</v>
      </c>
      <c r="G30">
        <f t="shared" si="1"/>
        <v>120.14285714285714</v>
      </c>
      <c r="H30">
        <f t="shared" si="2"/>
        <v>5.0059523809523805</v>
      </c>
      <c r="I30">
        <f t="shared" si="3"/>
        <v>8.3432539682539678E-2</v>
      </c>
      <c r="M30">
        <f t="shared" si="4"/>
        <v>156</v>
      </c>
    </row>
    <row r="31" spans="1:24" x14ac:dyDescent="0.2">
      <c r="A31">
        <v>30</v>
      </c>
      <c r="C31">
        <f t="shared" si="5"/>
        <v>84100</v>
      </c>
      <c r="D31">
        <f t="shared" si="6"/>
        <v>420500</v>
      </c>
      <c r="F31">
        <f t="shared" si="0"/>
        <v>900</v>
      </c>
      <c r="G31">
        <f t="shared" si="1"/>
        <v>128.57142857142858</v>
      </c>
      <c r="H31">
        <f t="shared" si="2"/>
        <v>5.3571428571428577</v>
      </c>
      <c r="I31">
        <f t="shared" si="3"/>
        <v>8.9285714285714288E-2</v>
      </c>
      <c r="M31">
        <f t="shared" si="4"/>
        <v>161</v>
      </c>
    </row>
    <row r="32" spans="1:24" x14ac:dyDescent="0.2">
      <c r="A32">
        <v>31</v>
      </c>
      <c r="C32">
        <f t="shared" si="5"/>
        <v>90000</v>
      </c>
      <c r="D32">
        <f t="shared" si="6"/>
        <v>450000</v>
      </c>
      <c r="F32">
        <f t="shared" si="0"/>
        <v>961</v>
      </c>
      <c r="G32">
        <f t="shared" si="1"/>
        <v>137.28571428571428</v>
      </c>
      <c r="H32">
        <f t="shared" si="2"/>
        <v>5.7202380952380949</v>
      </c>
      <c r="I32">
        <f t="shared" si="3"/>
        <v>9.5337301587301582E-2</v>
      </c>
      <c r="M32">
        <f t="shared" si="4"/>
        <v>166</v>
      </c>
    </row>
    <row r="33" spans="1:13" x14ac:dyDescent="0.2">
      <c r="A33">
        <v>32</v>
      </c>
      <c r="C33">
        <f t="shared" si="5"/>
        <v>96100</v>
      </c>
      <c r="D33">
        <f t="shared" si="6"/>
        <v>480500</v>
      </c>
      <c r="F33">
        <f t="shared" si="0"/>
        <v>1024</v>
      </c>
      <c r="G33">
        <f t="shared" si="1"/>
        <v>146.28571428571428</v>
      </c>
      <c r="H33">
        <f t="shared" si="2"/>
        <v>6.0952380952380949</v>
      </c>
      <c r="I33">
        <f t="shared" si="3"/>
        <v>0.10158730158730159</v>
      </c>
      <c r="M33">
        <f t="shared" si="4"/>
        <v>171</v>
      </c>
    </row>
    <row r="34" spans="1:13" x14ac:dyDescent="0.2">
      <c r="A34">
        <v>33</v>
      </c>
      <c r="C34">
        <f t="shared" si="5"/>
        <v>102400</v>
      </c>
      <c r="D34">
        <f t="shared" si="6"/>
        <v>512000</v>
      </c>
      <c r="F34">
        <f t="shared" si="0"/>
        <v>1089</v>
      </c>
      <c r="G34">
        <f t="shared" si="1"/>
        <v>155.57142857142858</v>
      </c>
      <c r="H34">
        <f t="shared" si="2"/>
        <v>6.4821428571428577</v>
      </c>
      <c r="I34">
        <f t="shared" si="3"/>
        <v>0.10803571428571429</v>
      </c>
      <c r="M34">
        <f t="shared" si="4"/>
        <v>176</v>
      </c>
    </row>
    <row r="35" spans="1:13" x14ac:dyDescent="0.2">
      <c r="A35">
        <v>34</v>
      </c>
      <c r="C35">
        <f t="shared" si="5"/>
        <v>108900</v>
      </c>
      <c r="D35">
        <f t="shared" si="6"/>
        <v>544500</v>
      </c>
      <c r="F35">
        <f t="shared" si="0"/>
        <v>1156</v>
      </c>
      <c r="G35">
        <f t="shared" si="1"/>
        <v>165.14285714285714</v>
      </c>
      <c r="H35">
        <f t="shared" si="2"/>
        <v>6.8809523809523805</v>
      </c>
      <c r="I35">
        <f t="shared" si="3"/>
        <v>0.11468253968253968</v>
      </c>
      <c r="M35">
        <f t="shared" si="4"/>
        <v>181</v>
      </c>
    </row>
    <row r="36" spans="1:13" x14ac:dyDescent="0.2">
      <c r="A36">
        <v>35</v>
      </c>
      <c r="C36">
        <f t="shared" si="5"/>
        <v>115600</v>
      </c>
      <c r="D36">
        <f t="shared" si="6"/>
        <v>578000</v>
      </c>
      <c r="F36">
        <f t="shared" si="0"/>
        <v>1225</v>
      </c>
      <c r="G36">
        <f t="shared" si="1"/>
        <v>175</v>
      </c>
      <c r="H36">
        <f t="shared" si="2"/>
        <v>7.291666666666667</v>
      </c>
      <c r="I36">
        <f t="shared" si="3"/>
        <v>0.12152777777777778</v>
      </c>
      <c r="M36">
        <f t="shared" si="4"/>
        <v>186</v>
      </c>
    </row>
    <row r="37" spans="1:13" x14ac:dyDescent="0.2">
      <c r="A37">
        <v>36</v>
      </c>
      <c r="C37">
        <f t="shared" si="5"/>
        <v>122500</v>
      </c>
      <c r="D37">
        <f t="shared" si="6"/>
        <v>612500</v>
      </c>
      <c r="F37">
        <f t="shared" si="0"/>
        <v>1296</v>
      </c>
      <c r="G37">
        <f t="shared" si="1"/>
        <v>185.14285714285714</v>
      </c>
      <c r="H37">
        <f t="shared" si="2"/>
        <v>7.7142857142857144</v>
      </c>
      <c r="I37">
        <f t="shared" si="3"/>
        <v>0.12857142857142859</v>
      </c>
      <c r="M37">
        <f t="shared" si="4"/>
        <v>191</v>
      </c>
    </row>
    <row r="38" spans="1:13" x14ac:dyDescent="0.2">
      <c r="A38">
        <v>37</v>
      </c>
      <c r="C38">
        <f t="shared" si="5"/>
        <v>129600</v>
      </c>
      <c r="D38">
        <f t="shared" si="6"/>
        <v>648000</v>
      </c>
      <c r="F38">
        <f t="shared" si="0"/>
        <v>1369</v>
      </c>
      <c r="G38">
        <f t="shared" si="1"/>
        <v>195.57142857142858</v>
      </c>
      <c r="H38">
        <f t="shared" si="2"/>
        <v>8.1488095238095237</v>
      </c>
      <c r="I38">
        <f t="shared" si="3"/>
        <v>0.13581349206349205</v>
      </c>
      <c r="M38">
        <f t="shared" si="4"/>
        <v>196</v>
      </c>
    </row>
    <row r="39" spans="1:13" x14ac:dyDescent="0.2">
      <c r="A39">
        <v>38</v>
      </c>
      <c r="C39">
        <f t="shared" si="5"/>
        <v>136900</v>
      </c>
      <c r="D39">
        <f t="shared" si="6"/>
        <v>684500</v>
      </c>
      <c r="F39">
        <f t="shared" si="0"/>
        <v>1444</v>
      </c>
      <c r="G39">
        <f t="shared" si="1"/>
        <v>206.28571428571428</v>
      </c>
      <c r="H39">
        <f t="shared" si="2"/>
        <v>8.5952380952380949</v>
      </c>
      <c r="I39">
        <f t="shared" si="3"/>
        <v>0.14325396825396824</v>
      </c>
      <c r="M39">
        <f t="shared" si="4"/>
        <v>201</v>
      </c>
    </row>
    <row r="40" spans="1:13" x14ac:dyDescent="0.2">
      <c r="A40">
        <v>39</v>
      </c>
      <c r="C40">
        <f t="shared" si="5"/>
        <v>144400</v>
      </c>
      <c r="D40">
        <f t="shared" si="6"/>
        <v>722000</v>
      </c>
      <c r="F40">
        <f t="shared" si="0"/>
        <v>1521</v>
      </c>
      <c r="G40">
        <f t="shared" si="1"/>
        <v>217.28571428571428</v>
      </c>
      <c r="H40">
        <f t="shared" si="2"/>
        <v>9.0535714285714288</v>
      </c>
      <c r="I40">
        <f t="shared" si="3"/>
        <v>0.15089285714285713</v>
      </c>
      <c r="M40">
        <f t="shared" si="4"/>
        <v>206</v>
      </c>
    </row>
    <row r="41" spans="1:13" x14ac:dyDescent="0.2">
      <c r="A41">
        <v>40</v>
      </c>
      <c r="C41">
        <f t="shared" ref="C41:C48" si="10">(A41-1)*(A41-1)*100</f>
        <v>152100</v>
      </c>
      <c r="D41">
        <f t="shared" ref="D41:D48" si="11">(A41-1)*(A41-1)*500</f>
        <v>760500</v>
      </c>
      <c r="F41">
        <f t="shared" ref="F41:F48" si="12">A41*A41</f>
        <v>1600</v>
      </c>
      <c r="G41">
        <f t="shared" ref="G41:G48" si="13">F41/7</f>
        <v>228.57142857142858</v>
      </c>
      <c r="H41">
        <f t="shared" ref="H41:H48" si="14">G41/24</f>
        <v>9.5238095238095237</v>
      </c>
      <c r="I41">
        <f t="shared" ref="I41:I48" si="15">H41/60</f>
        <v>0.15873015873015872</v>
      </c>
      <c r="M41">
        <f t="shared" ref="M41:M48" si="16">(A41+2)*5+1</f>
        <v>211</v>
      </c>
    </row>
    <row r="42" spans="1:13" x14ac:dyDescent="0.2">
      <c r="A42">
        <v>50</v>
      </c>
      <c r="C42">
        <f t="shared" si="10"/>
        <v>240100</v>
      </c>
      <c r="D42">
        <f t="shared" si="11"/>
        <v>1200500</v>
      </c>
      <c r="F42">
        <f t="shared" si="12"/>
        <v>2500</v>
      </c>
      <c r="G42">
        <f t="shared" si="13"/>
        <v>357.14285714285717</v>
      </c>
      <c r="H42">
        <f t="shared" si="14"/>
        <v>14.880952380952381</v>
      </c>
      <c r="I42">
        <f t="shared" si="15"/>
        <v>0.24801587301587302</v>
      </c>
      <c r="M42">
        <f t="shared" si="16"/>
        <v>261</v>
      </c>
    </row>
    <row r="43" spans="1:13" x14ac:dyDescent="0.2">
      <c r="A43">
        <v>60</v>
      </c>
      <c r="C43">
        <f t="shared" si="10"/>
        <v>348100</v>
      </c>
      <c r="D43">
        <f t="shared" si="11"/>
        <v>1740500</v>
      </c>
      <c r="F43">
        <f t="shared" si="12"/>
        <v>3600</v>
      </c>
      <c r="G43">
        <f t="shared" si="13"/>
        <v>514.28571428571433</v>
      </c>
      <c r="H43">
        <f t="shared" si="14"/>
        <v>21.428571428571431</v>
      </c>
      <c r="I43">
        <f t="shared" si="15"/>
        <v>0.35714285714285715</v>
      </c>
      <c r="M43">
        <f t="shared" si="16"/>
        <v>311</v>
      </c>
    </row>
    <row r="44" spans="1:13" x14ac:dyDescent="0.2">
      <c r="A44">
        <v>70</v>
      </c>
      <c r="C44">
        <f t="shared" si="10"/>
        <v>476100</v>
      </c>
      <c r="D44">
        <f t="shared" si="11"/>
        <v>2380500</v>
      </c>
      <c r="F44">
        <f t="shared" si="12"/>
        <v>4900</v>
      </c>
      <c r="G44">
        <f t="shared" si="13"/>
        <v>700</v>
      </c>
      <c r="H44">
        <f t="shared" si="14"/>
        <v>29.166666666666668</v>
      </c>
      <c r="I44">
        <f t="shared" si="15"/>
        <v>0.4861111111111111</v>
      </c>
      <c r="M44">
        <f t="shared" si="16"/>
        <v>361</v>
      </c>
    </row>
    <row r="45" spans="1:13" x14ac:dyDescent="0.2">
      <c r="A45">
        <v>80</v>
      </c>
      <c r="C45">
        <f t="shared" si="10"/>
        <v>624100</v>
      </c>
      <c r="D45">
        <f t="shared" si="11"/>
        <v>3120500</v>
      </c>
      <c r="F45">
        <f t="shared" si="12"/>
        <v>6400</v>
      </c>
      <c r="G45">
        <f t="shared" si="13"/>
        <v>914.28571428571433</v>
      </c>
      <c r="H45">
        <f t="shared" si="14"/>
        <v>38.095238095238095</v>
      </c>
      <c r="I45">
        <f t="shared" si="15"/>
        <v>0.63492063492063489</v>
      </c>
      <c r="M45">
        <f t="shared" si="16"/>
        <v>411</v>
      </c>
    </row>
    <row r="46" spans="1:13" x14ac:dyDescent="0.2">
      <c r="A46">
        <v>90</v>
      </c>
      <c r="C46">
        <f t="shared" si="10"/>
        <v>792100</v>
      </c>
      <c r="D46">
        <f t="shared" si="11"/>
        <v>3960500</v>
      </c>
      <c r="F46">
        <f t="shared" si="12"/>
        <v>8100</v>
      </c>
      <c r="G46">
        <f t="shared" si="13"/>
        <v>1157.1428571428571</v>
      </c>
      <c r="H46">
        <f t="shared" si="14"/>
        <v>48.214285714285715</v>
      </c>
      <c r="I46">
        <f t="shared" si="15"/>
        <v>0.8035714285714286</v>
      </c>
      <c r="M46">
        <f t="shared" si="16"/>
        <v>461</v>
      </c>
    </row>
    <row r="47" spans="1:13" x14ac:dyDescent="0.2">
      <c r="A47">
        <v>100</v>
      </c>
      <c r="C47">
        <f t="shared" si="10"/>
        <v>980100</v>
      </c>
      <c r="D47">
        <f t="shared" si="11"/>
        <v>4900500</v>
      </c>
      <c r="F47">
        <f t="shared" si="12"/>
        <v>10000</v>
      </c>
      <c r="G47">
        <f t="shared" si="13"/>
        <v>1428.5714285714287</v>
      </c>
      <c r="H47">
        <f t="shared" si="14"/>
        <v>59.523809523809526</v>
      </c>
      <c r="I47">
        <f t="shared" si="15"/>
        <v>0.99206349206349209</v>
      </c>
      <c r="M47">
        <f t="shared" si="16"/>
        <v>511</v>
      </c>
    </row>
    <row r="48" spans="1:13" x14ac:dyDescent="0.2">
      <c r="A48">
        <v>200</v>
      </c>
      <c r="C48">
        <f t="shared" si="10"/>
        <v>3960100</v>
      </c>
      <c r="D48">
        <f t="shared" si="11"/>
        <v>19800500</v>
      </c>
      <c r="F48">
        <f t="shared" si="12"/>
        <v>40000</v>
      </c>
      <c r="G48">
        <f t="shared" si="13"/>
        <v>5714.2857142857147</v>
      </c>
      <c r="H48">
        <f t="shared" si="14"/>
        <v>238.0952380952381</v>
      </c>
      <c r="I48">
        <f t="shared" si="15"/>
        <v>3.9682539682539684</v>
      </c>
      <c r="M48">
        <f t="shared" si="16"/>
        <v>1011</v>
      </c>
    </row>
    <row r="51" spans="1:4" x14ac:dyDescent="0.2">
      <c r="A51" t="s">
        <v>125</v>
      </c>
      <c r="B51" t="s">
        <v>128</v>
      </c>
      <c r="C51" t="s">
        <v>127</v>
      </c>
    </row>
    <row r="52" spans="1:4" x14ac:dyDescent="0.2">
      <c r="A52" t="s">
        <v>125</v>
      </c>
      <c r="B52" t="s">
        <v>124</v>
      </c>
      <c r="C52">
        <v>0</v>
      </c>
      <c r="D52" t="s">
        <v>135</v>
      </c>
    </row>
    <row r="53" spans="1:4" x14ac:dyDescent="0.2">
      <c r="B53" t="s">
        <v>129</v>
      </c>
      <c r="C53">
        <v>0</v>
      </c>
      <c r="D53" t="s">
        <v>130</v>
      </c>
    </row>
    <row r="54" spans="1:4" x14ac:dyDescent="0.2">
      <c r="B54" t="s">
        <v>132</v>
      </c>
      <c r="C54" t="s">
        <v>131</v>
      </c>
      <c r="D54" t="s">
        <v>133</v>
      </c>
    </row>
    <row r="55" spans="1:4" x14ac:dyDescent="0.2">
      <c r="A55" t="s">
        <v>126</v>
      </c>
      <c r="B55" t="s">
        <v>129</v>
      </c>
      <c r="C55">
        <v>0</v>
      </c>
      <c r="D55" t="s">
        <v>137</v>
      </c>
    </row>
    <row r="56" spans="1:4" x14ac:dyDescent="0.2">
      <c r="B56" t="s">
        <v>132</v>
      </c>
      <c r="C56" t="s">
        <v>131</v>
      </c>
      <c r="D56" t="s">
        <v>134</v>
      </c>
    </row>
    <row r="57" spans="1:4" x14ac:dyDescent="0.2">
      <c r="B57" t="s">
        <v>124</v>
      </c>
      <c r="C57">
        <v>0</v>
      </c>
      <c r="D57" t="s">
        <v>136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F27"/>
  <sheetViews>
    <sheetView workbookViewId="0">
      <selection activeCell="A24" sqref="A24"/>
    </sheetView>
  </sheetViews>
  <sheetFormatPr baseColWidth="10" defaultColWidth="8.83203125" defaultRowHeight="15" x14ac:dyDescent="0.2"/>
  <cols>
    <col min="1" max="1" width="20.5" customWidth="1"/>
  </cols>
  <sheetData>
    <row r="2" spans="1:6" ht="16" thickBot="1" x14ac:dyDescent="0.25"/>
    <row r="3" spans="1:6" ht="44.25" customHeight="1" thickBot="1" x14ac:dyDescent="0.25">
      <c r="A3" s="111" t="s">
        <v>25</v>
      </c>
      <c r="B3" s="113" t="s">
        <v>26</v>
      </c>
      <c r="C3" s="114"/>
      <c r="D3" s="114"/>
      <c r="E3" s="115"/>
      <c r="F3" s="116" t="s">
        <v>27</v>
      </c>
    </row>
    <row r="4" spans="1:6" ht="16" thickBot="1" x14ac:dyDescent="0.25">
      <c r="A4" s="112"/>
      <c r="B4" s="3" t="s">
        <v>28</v>
      </c>
      <c r="C4" s="3" t="s">
        <v>29</v>
      </c>
      <c r="D4" s="3" t="s">
        <v>30</v>
      </c>
      <c r="E4" s="3" t="s">
        <v>31</v>
      </c>
      <c r="F4" s="117"/>
    </row>
    <row r="5" spans="1:6" ht="16" thickBot="1" x14ac:dyDescent="0.25">
      <c r="A5" s="4" t="s">
        <v>32</v>
      </c>
      <c r="B5" s="4">
        <v>4.43</v>
      </c>
      <c r="C5" s="4">
        <v>15.948</v>
      </c>
      <c r="D5" s="4">
        <v>14.5</v>
      </c>
      <c r="E5" s="4">
        <v>9.9</v>
      </c>
      <c r="F5" s="4">
        <v>9.8000000000000007</v>
      </c>
    </row>
    <row r="6" spans="1:6" ht="16" thickBot="1" x14ac:dyDescent="0.25">
      <c r="A6" s="4" t="s">
        <v>33</v>
      </c>
      <c r="B6" s="4">
        <v>14</v>
      </c>
      <c r="C6" s="4">
        <v>50.4</v>
      </c>
      <c r="D6" s="4">
        <v>46</v>
      </c>
      <c r="E6" s="4">
        <v>31</v>
      </c>
      <c r="F6" s="4">
        <v>98</v>
      </c>
    </row>
    <row r="7" spans="1:6" ht="31" thickBot="1" x14ac:dyDescent="0.25">
      <c r="A7" s="5" t="s">
        <v>34</v>
      </c>
      <c r="B7" s="4">
        <v>40</v>
      </c>
      <c r="C7" s="4">
        <v>144</v>
      </c>
      <c r="D7" s="4">
        <v>130</v>
      </c>
      <c r="E7" s="4">
        <v>90</v>
      </c>
      <c r="F7" s="4">
        <v>800</v>
      </c>
    </row>
    <row r="8" spans="1:6" ht="16" thickBot="1" x14ac:dyDescent="0.25">
      <c r="A8" s="4" t="s">
        <v>35</v>
      </c>
      <c r="B8" s="4">
        <v>45</v>
      </c>
      <c r="C8" s="4">
        <v>162</v>
      </c>
      <c r="D8" s="4">
        <v>150</v>
      </c>
      <c r="E8" s="4">
        <v>100</v>
      </c>
      <c r="F8" s="4">
        <v>980</v>
      </c>
    </row>
    <row r="9" spans="1:6" ht="46" thickBot="1" x14ac:dyDescent="0.25">
      <c r="A9" s="5" t="s">
        <v>36</v>
      </c>
      <c r="B9" s="4">
        <v>45</v>
      </c>
      <c r="C9" s="4">
        <v>162</v>
      </c>
      <c r="D9" s="4">
        <v>150</v>
      </c>
      <c r="E9" s="4">
        <v>100</v>
      </c>
      <c r="F9" s="6">
        <v>1000</v>
      </c>
    </row>
    <row r="10" spans="1:6" ht="31" thickBot="1" x14ac:dyDescent="0.25">
      <c r="A10" s="5" t="s">
        <v>37</v>
      </c>
      <c r="B10" s="4">
        <v>58</v>
      </c>
      <c r="C10" s="4">
        <v>208.8</v>
      </c>
      <c r="D10" s="4">
        <v>190</v>
      </c>
      <c r="E10" s="4">
        <v>130</v>
      </c>
      <c r="F10" s="6">
        <v>1700</v>
      </c>
    </row>
    <row r="11" spans="1:6" ht="27" thickBot="1" x14ac:dyDescent="0.25">
      <c r="A11" s="7" t="s">
        <v>38</v>
      </c>
      <c r="B11" s="4">
        <v>63</v>
      </c>
      <c r="C11" s="4">
        <v>228.2</v>
      </c>
      <c r="D11" s="4">
        <v>208</v>
      </c>
      <c r="E11" s="4">
        <v>141</v>
      </c>
      <c r="F11" s="6">
        <v>2000</v>
      </c>
    </row>
    <row r="12" spans="1:6" ht="31" thickBot="1" x14ac:dyDescent="0.25">
      <c r="A12" s="5" t="s">
        <v>39</v>
      </c>
      <c r="B12" s="4">
        <v>91</v>
      </c>
      <c r="C12" s="4">
        <v>327.60000000000002</v>
      </c>
      <c r="D12" s="4">
        <v>300</v>
      </c>
      <c r="E12" s="4">
        <v>204</v>
      </c>
      <c r="F12" s="6">
        <v>4100</v>
      </c>
    </row>
    <row r="13" spans="1:6" ht="31" thickBot="1" x14ac:dyDescent="0.25">
      <c r="A13" s="5" t="s">
        <v>40</v>
      </c>
      <c r="B13" s="4">
        <v>97</v>
      </c>
      <c r="C13" s="4">
        <v>349.2</v>
      </c>
      <c r="D13" s="4">
        <v>320</v>
      </c>
      <c r="E13" s="4">
        <v>217</v>
      </c>
      <c r="F13" s="6">
        <v>4700</v>
      </c>
    </row>
    <row r="14" spans="1:6" ht="16" thickBot="1" x14ac:dyDescent="0.25">
      <c r="A14" s="7" t="s">
        <v>41</v>
      </c>
      <c r="B14" s="4">
        <v>100</v>
      </c>
      <c r="C14" s="4">
        <v>360</v>
      </c>
      <c r="D14" s="4">
        <v>328</v>
      </c>
      <c r="E14" s="4">
        <v>224</v>
      </c>
      <c r="F14" s="6">
        <v>5000</v>
      </c>
    </row>
    <row r="15" spans="1:6" ht="16" thickBot="1" x14ac:dyDescent="0.25">
      <c r="A15" s="5" t="s">
        <v>42</v>
      </c>
      <c r="B15" s="4">
        <v>150</v>
      </c>
      <c r="C15" s="4">
        <v>540</v>
      </c>
      <c r="D15" s="4">
        <v>492</v>
      </c>
      <c r="E15" s="4">
        <v>336</v>
      </c>
      <c r="F15" s="6">
        <v>11000</v>
      </c>
    </row>
    <row r="16" spans="1:6" ht="31" thickBot="1" x14ac:dyDescent="0.25">
      <c r="A16" s="5" t="s">
        <v>43</v>
      </c>
      <c r="B16" s="4">
        <v>305</v>
      </c>
      <c r="C16" s="4">
        <v>878.4</v>
      </c>
      <c r="D16" s="6">
        <v>1000</v>
      </c>
      <c r="E16" s="4">
        <v>545</v>
      </c>
      <c r="F16" s="6">
        <v>29800</v>
      </c>
    </row>
    <row r="17" spans="1:6" ht="27" thickBot="1" x14ac:dyDescent="0.25">
      <c r="A17" s="7" t="s">
        <v>44</v>
      </c>
      <c r="B17" s="4">
        <v>340</v>
      </c>
      <c r="C17" s="4">
        <v>1224</v>
      </c>
      <c r="D17" s="6">
        <v>1116</v>
      </c>
      <c r="E17" s="4">
        <v>761</v>
      </c>
      <c r="F17" s="6">
        <v>58000</v>
      </c>
    </row>
    <row r="18" spans="1:6" ht="27" thickBot="1" x14ac:dyDescent="0.25">
      <c r="A18" s="7" t="s">
        <v>45</v>
      </c>
      <c r="B18" s="4">
        <v>800</v>
      </c>
      <c r="C18" s="6">
        <v>2880</v>
      </c>
      <c r="D18" s="6">
        <v>2625</v>
      </c>
      <c r="E18" s="6">
        <v>1790</v>
      </c>
      <c r="F18" s="6">
        <v>320000</v>
      </c>
    </row>
    <row r="19" spans="1:6" ht="46" thickBot="1" x14ac:dyDescent="0.25">
      <c r="A19" s="5" t="s">
        <v>46</v>
      </c>
      <c r="B19" s="4">
        <v>810</v>
      </c>
      <c r="C19" s="6">
        <v>2899</v>
      </c>
      <c r="D19" s="6">
        <v>2657</v>
      </c>
      <c r="E19" s="6">
        <v>1812</v>
      </c>
      <c r="F19" s="6">
        <v>328050</v>
      </c>
    </row>
    <row r="20" spans="1:6" ht="46" thickBot="1" x14ac:dyDescent="0.25">
      <c r="A20" s="5" t="s">
        <v>47</v>
      </c>
      <c r="B20" s="4">
        <v>920</v>
      </c>
      <c r="C20" s="6">
        <v>3312</v>
      </c>
      <c r="D20" s="6">
        <v>3018</v>
      </c>
      <c r="E20" s="6">
        <v>2058</v>
      </c>
      <c r="F20" s="6">
        <v>470000</v>
      </c>
    </row>
    <row r="21" spans="1:6" ht="40" thickBot="1" x14ac:dyDescent="0.25">
      <c r="A21" s="4" t="s">
        <v>48</v>
      </c>
      <c r="B21" s="6">
        <v>1700</v>
      </c>
      <c r="C21" s="6">
        <v>6120</v>
      </c>
      <c r="D21" s="6">
        <v>5577</v>
      </c>
      <c r="E21" s="6">
        <v>3803</v>
      </c>
      <c r="F21" s="6">
        <v>1400000</v>
      </c>
    </row>
    <row r="22" spans="1:6" ht="31" thickBot="1" x14ac:dyDescent="0.25">
      <c r="A22" s="5" t="s">
        <v>49</v>
      </c>
      <c r="B22" s="6">
        <v>3000</v>
      </c>
      <c r="C22" s="6">
        <v>10800</v>
      </c>
      <c r="D22" s="6">
        <v>9843</v>
      </c>
      <c r="E22" s="6">
        <v>6711</v>
      </c>
      <c r="F22" s="6">
        <v>4500000</v>
      </c>
    </row>
    <row r="23" spans="1:6" ht="27" thickBot="1" x14ac:dyDescent="0.25">
      <c r="A23" s="7" t="s">
        <v>50</v>
      </c>
      <c r="B23" s="4" t="s">
        <v>51</v>
      </c>
      <c r="C23" s="4" t="s">
        <v>52</v>
      </c>
      <c r="D23" s="4" t="s">
        <v>53</v>
      </c>
      <c r="E23" s="4" t="s">
        <v>54</v>
      </c>
      <c r="F23" s="4" t="s">
        <v>55</v>
      </c>
    </row>
    <row r="24" spans="1:6" ht="40" thickBot="1" x14ac:dyDescent="0.25">
      <c r="A24" s="5" t="s">
        <v>56</v>
      </c>
      <c r="B24" s="4" t="s">
        <v>57</v>
      </c>
      <c r="C24" s="4" t="s">
        <v>58</v>
      </c>
      <c r="D24" s="4" t="s">
        <v>59</v>
      </c>
      <c r="E24" s="4" t="s">
        <v>60</v>
      </c>
      <c r="F24" s="4" t="s">
        <v>61</v>
      </c>
    </row>
    <row r="25" spans="1:6" ht="16" thickBot="1" x14ac:dyDescent="0.25">
      <c r="A25" s="5" t="s">
        <v>62</v>
      </c>
      <c r="B25" s="6">
        <v>8000</v>
      </c>
      <c r="C25" s="6">
        <v>29000</v>
      </c>
      <c r="D25" s="6">
        <v>26000</v>
      </c>
      <c r="E25" s="6">
        <v>19000</v>
      </c>
      <c r="F25" s="6">
        <v>32000000</v>
      </c>
    </row>
    <row r="26" spans="1:6" ht="31" thickBot="1" x14ac:dyDescent="0.25">
      <c r="A26" s="5" t="s">
        <v>63</v>
      </c>
      <c r="B26" s="4" t="s">
        <v>64</v>
      </c>
      <c r="C26" s="4" t="s">
        <v>65</v>
      </c>
      <c r="D26" s="4" t="s">
        <v>66</v>
      </c>
      <c r="E26" s="4" t="s">
        <v>67</v>
      </c>
      <c r="F26" s="4" t="s">
        <v>68</v>
      </c>
    </row>
    <row r="27" spans="1:6" ht="40" thickBot="1" x14ac:dyDescent="0.25">
      <c r="A27" s="4" t="s">
        <v>69</v>
      </c>
      <c r="B27" s="4" t="s">
        <v>70</v>
      </c>
      <c r="C27" s="4" t="s">
        <v>71</v>
      </c>
      <c r="D27" s="4" t="s">
        <v>72</v>
      </c>
      <c r="E27" s="4" t="s">
        <v>65</v>
      </c>
      <c r="F27" s="4" t="s">
        <v>73</v>
      </c>
    </row>
  </sheetData>
  <mergeCells count="3">
    <mergeCell ref="A3:A4"/>
    <mergeCell ref="B3:E3"/>
    <mergeCell ref="F3:F4"/>
  </mergeCells>
  <hyperlinks>
    <hyperlink ref="B3" r:id="rId1" tooltip="Speed" display="http://en.wikipedia.org/wiki/Speed"/>
    <hyperlink ref="F3" r:id="rId2" tooltip="Specific kinetic energy" display="http://en.wikipedia.org/wiki/Specific_kinetic_energy"/>
    <hyperlink ref="A7" r:id="rId3" tooltip="Club (weapon)" display="http://en.wikipedia.org/wiki/Club_(weapon)"/>
    <hyperlink ref="A9" r:id="rId4" tooltip="Atlatl" display="http://en.wikipedia.org/wiki/Atlatl"/>
    <hyperlink ref="A10" r:id="rId5" tooltip="Crossbow" display="http://en.wikipedia.org/wiki/Crossbow"/>
    <hyperlink ref="A12" r:id="rId6" tooltip="Paintball" display="http://en.wikipedia.org/wiki/Paintball"/>
    <hyperlink ref="A13" r:id="rId7" tooltip="Crossbow" display="http://en.wikipedia.org/wiki/Crossbow"/>
    <hyperlink ref="A15" r:id="rId8" tooltip="Rifle" display="http://en.wikipedia.org/wiki/Rifle"/>
    <hyperlink ref="A16" r:id="rId9" tooltip="Air gun" display="http://en.wikipedia.org/wiki/Air_gun"/>
    <hyperlink ref="A19" r:id="rId10" tooltip="8.8 cm KwK 36" display="http://en.wikipedia.org/wiki/8.8_cm_KwK_36"/>
    <hyperlink ref="A20" r:id="rId11" tooltip="5.56x45mm NATO" display="http://en.wikipedia.org/wiki/5.56x45mm_NATO"/>
    <hyperlink ref="A22" r:id="rId12" tooltip="Railgun" display="http://en.wikipedia.org/wiki/Railgun"/>
    <hyperlink ref="A24" r:id="rId13" tooltip="Light gas gun" display="http://en.wikipedia.org/wiki/Light_gas_gun"/>
    <hyperlink ref="A25" r:id="rId14" tooltip="Low earth orbit" display="http://en.wikipedia.org/wiki/Low_earth_orbit"/>
    <hyperlink ref="A26" r:id="rId15" tooltip="Exoatmospheric Kill Vehicle" display="http://en.wikipedia.org/wiki/Exoatmospheric_Kill_Vehicle"/>
  </hyperlink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C1:AN97"/>
  <sheetViews>
    <sheetView workbookViewId="0">
      <selection activeCell="AC35" sqref="AC35"/>
    </sheetView>
  </sheetViews>
  <sheetFormatPr baseColWidth="10" defaultColWidth="8.83203125" defaultRowHeight="15" x14ac:dyDescent="0.2"/>
  <cols>
    <col min="9" max="9" width="11.1640625" bestFit="1" customWidth="1"/>
    <col min="10" max="10" width="12.1640625" customWidth="1"/>
    <col min="11" max="11" width="13.33203125" customWidth="1"/>
    <col min="12" max="13" width="11.83203125" bestFit="1" customWidth="1"/>
    <col min="14" max="14" width="11.1640625" bestFit="1" customWidth="1"/>
    <col min="20" max="20" width="11.1640625" bestFit="1" customWidth="1"/>
    <col min="21" max="21" width="24.1640625" customWidth="1"/>
    <col min="22" max="22" width="13.6640625" customWidth="1"/>
    <col min="27" max="27" width="12.83203125" customWidth="1"/>
    <col min="30" max="30" width="4" customWidth="1"/>
    <col min="31" max="31" width="5.83203125" customWidth="1"/>
    <col min="32" max="32" width="8.6640625" customWidth="1"/>
    <col min="33" max="33" width="4.6640625" customWidth="1"/>
    <col min="35" max="35" width="12.83203125" customWidth="1"/>
    <col min="38" max="38" width="4" customWidth="1"/>
    <col min="39" max="39" width="5.83203125" customWidth="1"/>
    <col min="40" max="40" width="8.6640625" customWidth="1"/>
  </cols>
  <sheetData>
    <row r="1" spans="27:40" x14ac:dyDescent="0.2">
      <c r="AA1" t="s">
        <v>260</v>
      </c>
      <c r="AB1" t="s">
        <v>384</v>
      </c>
      <c r="AC1" t="s">
        <v>344</v>
      </c>
      <c r="AD1" t="s">
        <v>1136</v>
      </c>
      <c r="AE1" t="s">
        <v>388</v>
      </c>
      <c r="AF1" t="s">
        <v>385</v>
      </c>
      <c r="AI1" t="s">
        <v>260</v>
      </c>
      <c r="AJ1" t="s">
        <v>384</v>
      </c>
      <c r="AK1" t="s">
        <v>344</v>
      </c>
      <c r="AL1" t="s">
        <v>1136</v>
      </c>
      <c r="AM1" t="s">
        <v>388</v>
      </c>
      <c r="AN1" t="s">
        <v>385</v>
      </c>
    </row>
    <row r="2" spans="27:40" x14ac:dyDescent="0.2">
      <c r="AA2" s="103" t="s">
        <v>1063</v>
      </c>
      <c r="AB2" s="103" t="s">
        <v>204</v>
      </c>
      <c r="AC2" s="104" t="s">
        <v>1079</v>
      </c>
      <c r="AD2" s="103">
        <v>5</v>
      </c>
      <c r="AE2" s="103">
        <f t="shared" ref="AE2:AE42" si="0">FLOOR((AD2-5)/5,1)</f>
        <v>0</v>
      </c>
      <c r="AF2" s="42">
        <f t="shared" ref="AF2:AF16" si="1">AE2+2</f>
        <v>2</v>
      </c>
      <c r="AI2" s="103" t="s">
        <v>1063</v>
      </c>
      <c r="AJ2" s="103" t="s">
        <v>1040</v>
      </c>
      <c r="AK2" s="104" t="s">
        <v>1079</v>
      </c>
      <c r="AL2" s="103">
        <v>5</v>
      </c>
      <c r="AM2" s="103">
        <f t="shared" ref="AM2:AM42" si="2">FLOOR((AL2-5)/5,1)</f>
        <v>0</v>
      </c>
      <c r="AN2" s="42">
        <f t="shared" ref="AN2:AN16" si="3">AM2+2</f>
        <v>2</v>
      </c>
    </row>
    <row r="3" spans="27:40" x14ac:dyDescent="0.2">
      <c r="AA3" s="103" t="s">
        <v>397</v>
      </c>
      <c r="AB3" s="103" t="s">
        <v>204</v>
      </c>
      <c r="AC3" s="104" t="s">
        <v>1080</v>
      </c>
      <c r="AD3" s="103">
        <v>10</v>
      </c>
      <c r="AE3" s="103">
        <f t="shared" si="0"/>
        <v>1</v>
      </c>
      <c r="AF3" s="42">
        <f t="shared" si="1"/>
        <v>3</v>
      </c>
      <c r="AI3" s="103" t="s">
        <v>397</v>
      </c>
      <c r="AJ3" s="103" t="s">
        <v>1040</v>
      </c>
      <c r="AK3" s="104" t="s">
        <v>1080</v>
      </c>
      <c r="AL3" s="103">
        <v>10</v>
      </c>
      <c r="AM3" s="103">
        <f t="shared" si="2"/>
        <v>1</v>
      </c>
      <c r="AN3" s="42">
        <f t="shared" si="3"/>
        <v>3</v>
      </c>
    </row>
    <row r="4" spans="27:40" x14ac:dyDescent="0.2">
      <c r="AA4" s="103" t="s">
        <v>389</v>
      </c>
      <c r="AB4" s="103" t="s">
        <v>204</v>
      </c>
      <c r="AC4" s="104" t="s">
        <v>1081</v>
      </c>
      <c r="AD4" s="103">
        <v>15</v>
      </c>
      <c r="AE4" s="103">
        <f t="shared" si="0"/>
        <v>2</v>
      </c>
      <c r="AF4" s="42">
        <f t="shared" si="1"/>
        <v>4</v>
      </c>
      <c r="AI4" s="103" t="s">
        <v>389</v>
      </c>
      <c r="AJ4" s="103" t="s">
        <v>1040</v>
      </c>
      <c r="AK4" s="104" t="s">
        <v>1081</v>
      </c>
      <c r="AL4" s="103">
        <v>15</v>
      </c>
      <c r="AM4" s="103">
        <f t="shared" si="2"/>
        <v>2</v>
      </c>
      <c r="AN4" s="42">
        <f t="shared" si="3"/>
        <v>4</v>
      </c>
    </row>
    <row r="5" spans="27:40" x14ac:dyDescent="0.2">
      <c r="AA5" s="103" t="s">
        <v>1135</v>
      </c>
      <c r="AB5" s="103" t="s">
        <v>204</v>
      </c>
      <c r="AC5" s="104" t="s">
        <v>1082</v>
      </c>
      <c r="AD5" s="103">
        <v>20</v>
      </c>
      <c r="AE5" s="103">
        <f t="shared" si="0"/>
        <v>3</v>
      </c>
      <c r="AF5" s="42">
        <f t="shared" si="1"/>
        <v>5</v>
      </c>
      <c r="AI5" s="103" t="s">
        <v>1135</v>
      </c>
      <c r="AJ5" s="103" t="s">
        <v>1040</v>
      </c>
      <c r="AK5" s="104" t="s">
        <v>1082</v>
      </c>
      <c r="AL5" s="103">
        <v>20</v>
      </c>
      <c r="AM5" s="103">
        <f t="shared" si="2"/>
        <v>3</v>
      </c>
      <c r="AN5" s="42">
        <f t="shared" si="3"/>
        <v>5</v>
      </c>
    </row>
    <row r="6" spans="27:40" x14ac:dyDescent="0.2">
      <c r="AA6" s="103" t="s">
        <v>1060</v>
      </c>
      <c r="AB6" s="103" t="s">
        <v>204</v>
      </c>
      <c r="AC6" s="104" t="s">
        <v>1083</v>
      </c>
      <c r="AD6" s="103">
        <v>25</v>
      </c>
      <c r="AE6" s="103">
        <f t="shared" si="0"/>
        <v>4</v>
      </c>
      <c r="AF6" s="42">
        <f t="shared" si="1"/>
        <v>6</v>
      </c>
      <c r="AI6" s="103" t="s">
        <v>1060</v>
      </c>
      <c r="AJ6" s="103" t="s">
        <v>1040</v>
      </c>
      <c r="AK6" s="104" t="s">
        <v>1083</v>
      </c>
      <c r="AL6" s="103">
        <v>25</v>
      </c>
      <c r="AM6" s="103">
        <f t="shared" si="2"/>
        <v>4</v>
      </c>
      <c r="AN6" s="42">
        <f t="shared" si="3"/>
        <v>6</v>
      </c>
    </row>
    <row r="7" spans="27:40" x14ac:dyDescent="0.2">
      <c r="AA7" s="103" t="s">
        <v>1061</v>
      </c>
      <c r="AB7" s="103" t="s">
        <v>204</v>
      </c>
      <c r="AC7" s="104" t="s">
        <v>1084</v>
      </c>
      <c r="AD7" s="103">
        <v>30</v>
      </c>
      <c r="AE7" s="103">
        <f t="shared" si="0"/>
        <v>5</v>
      </c>
      <c r="AF7" s="42">
        <f t="shared" si="1"/>
        <v>7</v>
      </c>
      <c r="AI7" s="103" t="s">
        <v>1061</v>
      </c>
      <c r="AJ7" s="103" t="s">
        <v>1040</v>
      </c>
      <c r="AK7" s="104" t="s">
        <v>1084</v>
      </c>
      <c r="AL7" s="103">
        <v>30</v>
      </c>
      <c r="AM7" s="103">
        <f t="shared" si="2"/>
        <v>5</v>
      </c>
      <c r="AN7" s="42">
        <f t="shared" si="3"/>
        <v>7</v>
      </c>
    </row>
    <row r="8" spans="27:40" x14ac:dyDescent="0.2">
      <c r="AA8" s="103" t="s">
        <v>1039</v>
      </c>
      <c r="AB8" s="103" t="s">
        <v>204</v>
      </c>
      <c r="AC8" s="104" t="s">
        <v>1085</v>
      </c>
      <c r="AD8" s="103">
        <v>35</v>
      </c>
      <c r="AE8" s="103">
        <f t="shared" si="0"/>
        <v>6</v>
      </c>
      <c r="AF8" s="42">
        <f t="shared" si="1"/>
        <v>8</v>
      </c>
      <c r="AI8" s="103" t="s">
        <v>1039</v>
      </c>
      <c r="AJ8" s="103" t="s">
        <v>1040</v>
      </c>
      <c r="AK8" s="104" t="s">
        <v>1085</v>
      </c>
      <c r="AL8" s="103">
        <v>35</v>
      </c>
      <c r="AM8" s="103">
        <f t="shared" si="2"/>
        <v>6</v>
      </c>
      <c r="AN8" s="42">
        <f t="shared" si="3"/>
        <v>8</v>
      </c>
    </row>
    <row r="9" spans="27:40" x14ac:dyDescent="0.2">
      <c r="AA9" s="103" t="s">
        <v>1036</v>
      </c>
      <c r="AB9" s="103" t="s">
        <v>204</v>
      </c>
      <c r="AC9" s="104" t="s">
        <v>1086</v>
      </c>
      <c r="AD9" s="103">
        <v>40</v>
      </c>
      <c r="AE9" s="103">
        <f t="shared" si="0"/>
        <v>7</v>
      </c>
      <c r="AF9" s="42">
        <f t="shared" si="1"/>
        <v>9</v>
      </c>
      <c r="AI9" s="103" t="s">
        <v>1036</v>
      </c>
      <c r="AJ9" s="103" t="s">
        <v>1040</v>
      </c>
      <c r="AK9" s="104" t="s">
        <v>1086</v>
      </c>
      <c r="AL9" s="103">
        <v>40</v>
      </c>
      <c r="AM9" s="103">
        <f t="shared" si="2"/>
        <v>7</v>
      </c>
      <c r="AN9" s="42">
        <f t="shared" si="3"/>
        <v>9</v>
      </c>
    </row>
    <row r="10" spans="27:40" x14ac:dyDescent="0.2">
      <c r="AA10" s="103" t="s">
        <v>395</v>
      </c>
      <c r="AB10" s="103" t="s">
        <v>204</v>
      </c>
      <c r="AC10" s="104" t="s">
        <v>1087</v>
      </c>
      <c r="AD10" s="103">
        <v>45</v>
      </c>
      <c r="AE10" s="103">
        <f t="shared" si="0"/>
        <v>8</v>
      </c>
      <c r="AF10" s="42">
        <f t="shared" si="1"/>
        <v>10</v>
      </c>
      <c r="AI10" s="103" t="s">
        <v>395</v>
      </c>
      <c r="AJ10" s="103" t="s">
        <v>1040</v>
      </c>
      <c r="AK10" s="104" t="s">
        <v>1087</v>
      </c>
      <c r="AL10" s="103">
        <v>45</v>
      </c>
      <c r="AM10" s="103">
        <f t="shared" si="2"/>
        <v>8</v>
      </c>
      <c r="AN10" s="42">
        <f t="shared" si="3"/>
        <v>10</v>
      </c>
    </row>
    <row r="11" spans="27:40" x14ac:dyDescent="0.2">
      <c r="AA11" s="103" t="s">
        <v>1037</v>
      </c>
      <c r="AB11" s="103" t="s">
        <v>204</v>
      </c>
      <c r="AC11" s="104" t="s">
        <v>1088</v>
      </c>
      <c r="AD11" s="103">
        <v>50</v>
      </c>
      <c r="AE11" s="103">
        <f t="shared" si="0"/>
        <v>9</v>
      </c>
      <c r="AF11" s="42">
        <f t="shared" si="1"/>
        <v>11</v>
      </c>
      <c r="AI11" s="103" t="s">
        <v>1037</v>
      </c>
      <c r="AJ11" s="103" t="s">
        <v>1040</v>
      </c>
      <c r="AK11" s="104" t="s">
        <v>1088</v>
      </c>
      <c r="AL11" s="103">
        <v>50</v>
      </c>
      <c r="AM11" s="103">
        <f t="shared" si="2"/>
        <v>9</v>
      </c>
      <c r="AN11" s="42">
        <f t="shared" si="3"/>
        <v>11</v>
      </c>
    </row>
    <row r="12" spans="27:40" x14ac:dyDescent="0.2">
      <c r="AA12" s="103" t="s">
        <v>1035</v>
      </c>
      <c r="AB12" s="103" t="s">
        <v>204</v>
      </c>
      <c r="AC12" s="104" t="s">
        <v>1089</v>
      </c>
      <c r="AD12" s="103">
        <v>55</v>
      </c>
      <c r="AE12" s="103">
        <f t="shared" si="0"/>
        <v>10</v>
      </c>
      <c r="AF12" s="42">
        <f t="shared" si="1"/>
        <v>12</v>
      </c>
      <c r="AI12" s="103" t="s">
        <v>1035</v>
      </c>
      <c r="AJ12" s="103" t="s">
        <v>1040</v>
      </c>
      <c r="AK12" s="104" t="s">
        <v>1089</v>
      </c>
      <c r="AL12" s="103">
        <v>55</v>
      </c>
      <c r="AM12" s="103">
        <f t="shared" si="2"/>
        <v>10</v>
      </c>
      <c r="AN12" s="42">
        <f t="shared" si="3"/>
        <v>12</v>
      </c>
    </row>
    <row r="13" spans="27:40" x14ac:dyDescent="0.2">
      <c r="AA13" s="103" t="s">
        <v>1038</v>
      </c>
      <c r="AB13" s="103" t="s">
        <v>204</v>
      </c>
      <c r="AC13" s="104" t="s">
        <v>1090</v>
      </c>
      <c r="AD13" s="103">
        <v>60</v>
      </c>
      <c r="AE13" s="103">
        <f t="shared" si="0"/>
        <v>11</v>
      </c>
      <c r="AF13" s="42">
        <f t="shared" si="1"/>
        <v>13</v>
      </c>
      <c r="AI13" s="103" t="s">
        <v>1038</v>
      </c>
      <c r="AJ13" s="103" t="s">
        <v>1040</v>
      </c>
      <c r="AK13" s="104" t="s">
        <v>1090</v>
      </c>
      <c r="AL13" s="103">
        <v>60</v>
      </c>
      <c r="AM13" s="103">
        <f t="shared" si="2"/>
        <v>11</v>
      </c>
      <c r="AN13" s="42">
        <f t="shared" si="3"/>
        <v>13</v>
      </c>
    </row>
    <row r="14" spans="27:40" x14ac:dyDescent="0.2">
      <c r="AA14" s="103" t="s">
        <v>1091</v>
      </c>
      <c r="AB14" s="103" t="s">
        <v>204</v>
      </c>
      <c r="AC14" s="104" t="s">
        <v>1092</v>
      </c>
      <c r="AD14" s="103">
        <v>65</v>
      </c>
      <c r="AE14" s="103">
        <f t="shared" si="0"/>
        <v>12</v>
      </c>
      <c r="AF14" s="42">
        <f t="shared" si="1"/>
        <v>14</v>
      </c>
      <c r="AI14" s="103" t="s">
        <v>1091</v>
      </c>
      <c r="AJ14" s="103" t="s">
        <v>1040</v>
      </c>
      <c r="AK14" s="104" t="s">
        <v>1092</v>
      </c>
      <c r="AL14" s="103">
        <v>65</v>
      </c>
      <c r="AM14" s="103">
        <f t="shared" si="2"/>
        <v>12</v>
      </c>
      <c r="AN14" s="42">
        <f t="shared" si="3"/>
        <v>14</v>
      </c>
    </row>
    <row r="15" spans="27:40" x14ac:dyDescent="0.2">
      <c r="AA15" s="103" t="s">
        <v>1093</v>
      </c>
      <c r="AB15" s="103" t="s">
        <v>204</v>
      </c>
      <c r="AC15" s="104" t="s">
        <v>473</v>
      </c>
      <c r="AD15" s="103">
        <v>80</v>
      </c>
      <c r="AE15" s="103">
        <f t="shared" si="0"/>
        <v>15</v>
      </c>
      <c r="AF15" s="42">
        <f t="shared" si="1"/>
        <v>17</v>
      </c>
      <c r="AI15" s="103" t="s">
        <v>1093</v>
      </c>
      <c r="AJ15" s="103" t="s">
        <v>1040</v>
      </c>
      <c r="AK15" s="104" t="s">
        <v>473</v>
      </c>
      <c r="AL15" s="103">
        <v>80</v>
      </c>
      <c r="AM15" s="103">
        <f t="shared" si="2"/>
        <v>15</v>
      </c>
      <c r="AN15" s="42">
        <f t="shared" si="3"/>
        <v>17</v>
      </c>
    </row>
    <row r="16" spans="27:40" x14ac:dyDescent="0.2">
      <c r="AA16" s="103" t="s">
        <v>1094</v>
      </c>
      <c r="AB16" s="103" t="s">
        <v>204</v>
      </c>
      <c r="AC16" s="104" t="s">
        <v>473</v>
      </c>
      <c r="AD16" s="103">
        <v>100</v>
      </c>
      <c r="AE16" s="103">
        <f t="shared" si="0"/>
        <v>19</v>
      </c>
      <c r="AF16" s="42">
        <f t="shared" si="1"/>
        <v>21</v>
      </c>
      <c r="AI16" s="103" t="s">
        <v>1094</v>
      </c>
      <c r="AJ16" s="103" t="s">
        <v>1040</v>
      </c>
      <c r="AK16" s="104" t="s">
        <v>473</v>
      </c>
      <c r="AL16" s="103">
        <v>100</v>
      </c>
      <c r="AM16" s="103">
        <f t="shared" si="2"/>
        <v>19</v>
      </c>
      <c r="AN16" s="42">
        <f t="shared" si="3"/>
        <v>21</v>
      </c>
    </row>
    <row r="17" spans="3:40" x14ac:dyDescent="0.2">
      <c r="AA17" s="103" t="s">
        <v>407</v>
      </c>
      <c r="AB17" s="103" t="s">
        <v>386</v>
      </c>
      <c r="AC17" s="104" t="s">
        <v>955</v>
      </c>
      <c r="AD17" s="103">
        <v>5</v>
      </c>
      <c r="AE17" s="103">
        <f t="shared" si="0"/>
        <v>0</v>
      </c>
      <c r="AF17">
        <f t="shared" ref="AF17:AF31" si="4">AE17+12</f>
        <v>12</v>
      </c>
      <c r="AI17" s="103" t="s">
        <v>407</v>
      </c>
      <c r="AJ17" s="103" t="s">
        <v>386</v>
      </c>
      <c r="AK17" s="104" t="s">
        <v>955</v>
      </c>
      <c r="AL17" s="103">
        <v>5</v>
      </c>
      <c r="AM17" s="103">
        <f t="shared" si="2"/>
        <v>0</v>
      </c>
      <c r="AN17">
        <f t="shared" ref="AN17:AN31" si="5">AM17+12</f>
        <v>12</v>
      </c>
    </row>
    <row r="18" spans="3:40" x14ac:dyDescent="0.2">
      <c r="AA18" s="103" t="s">
        <v>413</v>
      </c>
      <c r="AB18" s="103" t="s">
        <v>386</v>
      </c>
      <c r="AC18" s="104" t="s">
        <v>416</v>
      </c>
      <c r="AD18" s="103">
        <v>10</v>
      </c>
      <c r="AE18" s="103">
        <f t="shared" si="0"/>
        <v>1</v>
      </c>
      <c r="AF18">
        <f t="shared" si="4"/>
        <v>13</v>
      </c>
      <c r="AI18" s="103" t="s">
        <v>413</v>
      </c>
      <c r="AJ18" s="103" t="s">
        <v>386</v>
      </c>
      <c r="AK18" s="104" t="s">
        <v>416</v>
      </c>
      <c r="AL18" s="103">
        <v>10</v>
      </c>
      <c r="AM18" s="103">
        <f t="shared" si="2"/>
        <v>1</v>
      </c>
      <c r="AN18">
        <f t="shared" si="5"/>
        <v>13</v>
      </c>
    </row>
    <row r="19" spans="3:40" x14ac:dyDescent="0.2">
      <c r="AA19" s="103" t="s">
        <v>417</v>
      </c>
      <c r="AB19" s="103" t="s">
        <v>386</v>
      </c>
      <c r="AC19" s="104" t="s">
        <v>557</v>
      </c>
      <c r="AD19" s="103">
        <v>15</v>
      </c>
      <c r="AE19" s="103">
        <f t="shared" si="0"/>
        <v>2</v>
      </c>
      <c r="AF19">
        <f t="shared" si="4"/>
        <v>14</v>
      </c>
      <c r="AI19" s="103" t="s">
        <v>417</v>
      </c>
      <c r="AJ19" s="103" t="s">
        <v>386</v>
      </c>
      <c r="AK19" s="104" t="s">
        <v>557</v>
      </c>
      <c r="AL19" s="103">
        <v>15</v>
      </c>
      <c r="AM19" s="103">
        <f t="shared" si="2"/>
        <v>2</v>
      </c>
      <c r="AN19">
        <f t="shared" si="5"/>
        <v>14</v>
      </c>
    </row>
    <row r="20" spans="3:40" x14ac:dyDescent="0.2">
      <c r="AA20" s="103" t="s">
        <v>419</v>
      </c>
      <c r="AB20" s="103" t="s">
        <v>386</v>
      </c>
      <c r="AC20" s="104" t="s">
        <v>540</v>
      </c>
      <c r="AD20" s="103">
        <v>20</v>
      </c>
      <c r="AE20" s="103">
        <f t="shared" si="0"/>
        <v>3</v>
      </c>
      <c r="AF20">
        <f t="shared" si="4"/>
        <v>15</v>
      </c>
      <c r="AI20" s="103" t="s">
        <v>419</v>
      </c>
      <c r="AJ20" s="103" t="s">
        <v>386</v>
      </c>
      <c r="AK20" s="104" t="s">
        <v>540</v>
      </c>
      <c r="AL20" s="103">
        <v>20</v>
      </c>
      <c r="AM20" s="103">
        <f t="shared" si="2"/>
        <v>3</v>
      </c>
      <c r="AN20">
        <f t="shared" si="5"/>
        <v>15</v>
      </c>
    </row>
    <row r="21" spans="3:40" x14ac:dyDescent="0.2">
      <c r="AA21" s="103" t="s">
        <v>423</v>
      </c>
      <c r="AB21" s="103" t="s">
        <v>386</v>
      </c>
      <c r="AC21" s="104" t="s">
        <v>1095</v>
      </c>
      <c r="AD21" s="103">
        <v>25</v>
      </c>
      <c r="AE21" s="103">
        <f t="shared" si="0"/>
        <v>4</v>
      </c>
      <c r="AF21">
        <f t="shared" si="4"/>
        <v>16</v>
      </c>
      <c r="AI21" s="103" t="s">
        <v>423</v>
      </c>
      <c r="AJ21" s="103" t="s">
        <v>386</v>
      </c>
      <c r="AK21" s="104" t="s">
        <v>1095</v>
      </c>
      <c r="AL21" s="103">
        <v>25</v>
      </c>
      <c r="AM21" s="103">
        <f t="shared" si="2"/>
        <v>4</v>
      </c>
      <c r="AN21">
        <f t="shared" si="5"/>
        <v>16</v>
      </c>
    </row>
    <row r="22" spans="3:40" x14ac:dyDescent="0.2">
      <c r="AA22" s="103" t="s">
        <v>425</v>
      </c>
      <c r="AB22" s="103" t="s">
        <v>386</v>
      </c>
      <c r="AC22" s="104" t="s">
        <v>1096</v>
      </c>
      <c r="AD22" s="103">
        <v>30</v>
      </c>
      <c r="AE22" s="103">
        <f t="shared" si="0"/>
        <v>5</v>
      </c>
      <c r="AF22">
        <f t="shared" si="4"/>
        <v>17</v>
      </c>
      <c r="AI22" s="103" t="s">
        <v>425</v>
      </c>
      <c r="AJ22" s="103" t="s">
        <v>386</v>
      </c>
      <c r="AK22" s="104" t="s">
        <v>1096</v>
      </c>
      <c r="AL22" s="103">
        <v>30</v>
      </c>
      <c r="AM22" s="103">
        <f t="shared" si="2"/>
        <v>5</v>
      </c>
      <c r="AN22">
        <f t="shared" si="5"/>
        <v>17</v>
      </c>
    </row>
    <row r="23" spans="3:40" x14ac:dyDescent="0.2">
      <c r="AA23" s="103" t="s">
        <v>426</v>
      </c>
      <c r="AB23" s="103" t="s">
        <v>386</v>
      </c>
      <c r="AC23" s="104" t="s">
        <v>1097</v>
      </c>
      <c r="AD23" s="103">
        <v>35</v>
      </c>
      <c r="AE23" s="103">
        <f t="shared" si="0"/>
        <v>6</v>
      </c>
      <c r="AF23">
        <f t="shared" si="4"/>
        <v>18</v>
      </c>
      <c r="AI23" s="103" t="s">
        <v>426</v>
      </c>
      <c r="AJ23" s="103" t="s">
        <v>386</v>
      </c>
      <c r="AK23" s="104" t="s">
        <v>1097</v>
      </c>
      <c r="AL23" s="103">
        <v>35</v>
      </c>
      <c r="AM23" s="103">
        <f t="shared" si="2"/>
        <v>6</v>
      </c>
      <c r="AN23">
        <f t="shared" si="5"/>
        <v>18</v>
      </c>
    </row>
    <row r="24" spans="3:40" x14ac:dyDescent="0.2">
      <c r="AA24" s="103" t="s">
        <v>427</v>
      </c>
      <c r="AB24" s="103" t="s">
        <v>386</v>
      </c>
      <c r="AC24" s="104" t="s">
        <v>1098</v>
      </c>
      <c r="AD24" s="103">
        <v>40</v>
      </c>
      <c r="AE24" s="103">
        <f t="shared" si="0"/>
        <v>7</v>
      </c>
      <c r="AF24">
        <f t="shared" si="4"/>
        <v>19</v>
      </c>
      <c r="AI24" s="103" t="s">
        <v>427</v>
      </c>
      <c r="AJ24" s="103" t="s">
        <v>386</v>
      </c>
      <c r="AK24" s="104" t="s">
        <v>1098</v>
      </c>
      <c r="AL24" s="103">
        <v>40</v>
      </c>
      <c r="AM24" s="103">
        <f t="shared" si="2"/>
        <v>7</v>
      </c>
      <c r="AN24">
        <f t="shared" si="5"/>
        <v>19</v>
      </c>
    </row>
    <row r="25" spans="3:40" x14ac:dyDescent="0.2">
      <c r="AA25" s="103" t="s">
        <v>429</v>
      </c>
      <c r="AB25" s="103" t="s">
        <v>386</v>
      </c>
      <c r="AC25" s="104" t="s">
        <v>1099</v>
      </c>
      <c r="AD25" s="103">
        <v>45</v>
      </c>
      <c r="AE25" s="103">
        <f t="shared" si="0"/>
        <v>8</v>
      </c>
      <c r="AF25">
        <f t="shared" si="4"/>
        <v>20</v>
      </c>
      <c r="AI25" s="103" t="s">
        <v>429</v>
      </c>
      <c r="AJ25" s="103" t="s">
        <v>386</v>
      </c>
      <c r="AK25" s="104" t="s">
        <v>1099</v>
      </c>
      <c r="AL25" s="103">
        <v>45</v>
      </c>
      <c r="AM25" s="103">
        <f t="shared" si="2"/>
        <v>8</v>
      </c>
      <c r="AN25">
        <f t="shared" si="5"/>
        <v>20</v>
      </c>
    </row>
    <row r="26" spans="3:40" x14ac:dyDescent="0.2">
      <c r="AA26" s="103" t="s">
        <v>431</v>
      </c>
      <c r="AB26" s="103" t="s">
        <v>386</v>
      </c>
      <c r="AC26" s="104" t="s">
        <v>1100</v>
      </c>
      <c r="AD26" s="103">
        <v>50</v>
      </c>
      <c r="AE26" s="103">
        <f t="shared" si="0"/>
        <v>9</v>
      </c>
      <c r="AF26">
        <f t="shared" si="4"/>
        <v>21</v>
      </c>
      <c r="AI26" s="103" t="s">
        <v>431</v>
      </c>
      <c r="AJ26" s="103" t="s">
        <v>386</v>
      </c>
      <c r="AK26" s="104" t="s">
        <v>1100</v>
      </c>
      <c r="AL26" s="103">
        <v>50</v>
      </c>
      <c r="AM26" s="103">
        <f t="shared" si="2"/>
        <v>9</v>
      </c>
      <c r="AN26">
        <f t="shared" si="5"/>
        <v>21</v>
      </c>
    </row>
    <row r="27" spans="3:40" x14ac:dyDescent="0.2">
      <c r="H27" t="s">
        <v>690</v>
      </c>
      <c r="I27">
        <v>5</v>
      </c>
      <c r="J27" t="s">
        <v>1009</v>
      </c>
      <c r="K27" t="s">
        <v>1010</v>
      </c>
      <c r="L27" t="s">
        <v>1033</v>
      </c>
      <c r="M27" t="s">
        <v>1012</v>
      </c>
      <c r="N27" t="s">
        <v>1011</v>
      </c>
      <c r="AA27" s="103" t="s">
        <v>433</v>
      </c>
      <c r="AB27" s="103" t="s">
        <v>386</v>
      </c>
      <c r="AC27" s="104" t="s">
        <v>1101</v>
      </c>
      <c r="AD27" s="103">
        <v>55</v>
      </c>
      <c r="AE27" s="103">
        <f t="shared" si="0"/>
        <v>10</v>
      </c>
      <c r="AF27">
        <f t="shared" si="4"/>
        <v>22</v>
      </c>
      <c r="AI27" s="103" t="s">
        <v>433</v>
      </c>
      <c r="AJ27" s="103" t="s">
        <v>386</v>
      </c>
      <c r="AK27" s="104" t="s">
        <v>1101</v>
      </c>
      <c r="AL27" s="103">
        <v>55</v>
      </c>
      <c r="AM27" s="103">
        <f t="shared" si="2"/>
        <v>10</v>
      </c>
      <c r="AN27">
        <f t="shared" si="5"/>
        <v>22</v>
      </c>
    </row>
    <row r="28" spans="3:40" x14ac:dyDescent="0.2">
      <c r="F28" t="s">
        <v>1008</v>
      </c>
      <c r="G28">
        <v>12</v>
      </c>
      <c r="I28">
        <f>POWER(G28,$I$27/6.48964)</f>
        <v>6.7836689658722618</v>
      </c>
      <c r="J28">
        <f t="shared" ref="J28:L29" si="6">I28/100</f>
        <v>6.7836689658722624E-2</v>
      </c>
      <c r="K28">
        <f t="shared" si="6"/>
        <v>6.7836689658722625E-4</v>
      </c>
      <c r="L28">
        <f t="shared" si="6"/>
        <v>6.7836689658722626E-6</v>
      </c>
      <c r="M28">
        <f>K28/1000</f>
        <v>6.7836689658722626E-7</v>
      </c>
      <c r="N28">
        <f>M28/5</f>
        <v>1.3567337931744526E-7</v>
      </c>
      <c r="S28" t="s">
        <v>1034</v>
      </c>
      <c r="AA28" s="103" t="s">
        <v>1030</v>
      </c>
      <c r="AB28" s="103" t="s">
        <v>386</v>
      </c>
      <c r="AC28" s="104" t="s">
        <v>1102</v>
      </c>
      <c r="AD28" s="103">
        <v>60</v>
      </c>
      <c r="AE28" s="103">
        <f t="shared" si="0"/>
        <v>11</v>
      </c>
      <c r="AF28">
        <f t="shared" si="4"/>
        <v>23</v>
      </c>
      <c r="AI28" s="103" t="s">
        <v>1030</v>
      </c>
      <c r="AJ28" s="103" t="s">
        <v>386</v>
      </c>
      <c r="AK28" s="104" t="s">
        <v>1102</v>
      </c>
      <c r="AL28" s="103">
        <v>60</v>
      </c>
      <c r="AM28" s="103">
        <f t="shared" si="2"/>
        <v>11</v>
      </c>
      <c r="AN28">
        <f t="shared" si="5"/>
        <v>23</v>
      </c>
    </row>
    <row r="29" spans="3:40" x14ac:dyDescent="0.2">
      <c r="F29" t="s">
        <v>367</v>
      </c>
      <c r="G29">
        <v>10</v>
      </c>
      <c r="I29">
        <f t="shared" ref="I29:I30" si="7">POWER(G29,$I$27/5)</f>
        <v>10</v>
      </c>
      <c r="J29">
        <f t="shared" si="6"/>
        <v>0.1</v>
      </c>
      <c r="K29">
        <f t="shared" si="6"/>
        <v>1E-3</v>
      </c>
      <c r="L29">
        <f t="shared" si="6"/>
        <v>1.0000000000000001E-5</v>
      </c>
      <c r="AA29" t="s">
        <v>1103</v>
      </c>
      <c r="AB29" s="103" t="s">
        <v>386</v>
      </c>
      <c r="AD29">
        <v>70</v>
      </c>
      <c r="AE29" s="103">
        <f t="shared" si="0"/>
        <v>13</v>
      </c>
      <c r="AF29">
        <f t="shared" si="4"/>
        <v>25</v>
      </c>
      <c r="AI29" t="s">
        <v>1103</v>
      </c>
      <c r="AJ29" s="103" t="s">
        <v>386</v>
      </c>
      <c r="AL29">
        <v>70</v>
      </c>
      <c r="AM29" s="103">
        <f t="shared" si="2"/>
        <v>13</v>
      </c>
      <c r="AN29">
        <f t="shared" si="5"/>
        <v>25</v>
      </c>
    </row>
    <row r="30" spans="3:40" x14ac:dyDescent="0.2">
      <c r="F30" t="s">
        <v>387</v>
      </c>
      <c r="G30">
        <v>8</v>
      </c>
      <c r="I30">
        <f t="shared" si="7"/>
        <v>8</v>
      </c>
      <c r="AA30" s="103" t="s">
        <v>1104</v>
      </c>
      <c r="AB30" s="103" t="s">
        <v>386</v>
      </c>
      <c r="AC30" s="104"/>
      <c r="AD30" s="103">
        <v>80</v>
      </c>
      <c r="AE30" s="103">
        <f t="shared" si="0"/>
        <v>15</v>
      </c>
      <c r="AF30">
        <f t="shared" si="4"/>
        <v>27</v>
      </c>
      <c r="AI30" s="103" t="s">
        <v>1104</v>
      </c>
      <c r="AJ30" s="103" t="s">
        <v>386</v>
      </c>
      <c r="AK30" s="104"/>
      <c r="AL30" s="103">
        <v>80</v>
      </c>
      <c r="AM30" s="103">
        <f t="shared" si="2"/>
        <v>15</v>
      </c>
      <c r="AN30">
        <f t="shared" si="5"/>
        <v>27</v>
      </c>
    </row>
    <row r="31" spans="3:40" x14ac:dyDescent="0.2">
      <c r="S31">
        <f>1000/32</f>
        <v>31.25</v>
      </c>
      <c r="T31">
        <v>1600</v>
      </c>
      <c r="U31">
        <f>T31*32</f>
        <v>51200</v>
      </c>
      <c r="AA31" s="103" t="s">
        <v>1025</v>
      </c>
      <c r="AB31" s="103" t="s">
        <v>386</v>
      </c>
      <c r="AC31" s="104"/>
      <c r="AD31" s="103">
        <v>90</v>
      </c>
      <c r="AE31" s="103">
        <f t="shared" si="0"/>
        <v>17</v>
      </c>
      <c r="AF31">
        <f t="shared" si="4"/>
        <v>29</v>
      </c>
      <c r="AI31" s="103" t="s">
        <v>1025</v>
      </c>
      <c r="AJ31" s="103" t="s">
        <v>386</v>
      </c>
      <c r="AK31" s="104"/>
      <c r="AL31" s="103">
        <v>90</v>
      </c>
      <c r="AM31" s="103">
        <f t="shared" si="2"/>
        <v>17</v>
      </c>
      <c r="AN31">
        <f t="shared" si="5"/>
        <v>29</v>
      </c>
    </row>
    <row r="32" spans="3:40" x14ac:dyDescent="0.2">
      <c r="C32" t="s">
        <v>1030</v>
      </c>
      <c r="E32" t="s">
        <v>1017</v>
      </c>
      <c r="H32" t="s">
        <v>1031</v>
      </c>
      <c r="T32">
        <f>T31/3</f>
        <v>533.33333333333337</v>
      </c>
      <c r="AA32" s="103" t="s">
        <v>656</v>
      </c>
      <c r="AB32" s="103" t="s">
        <v>203</v>
      </c>
      <c r="AC32" s="108" t="s">
        <v>1080</v>
      </c>
      <c r="AD32" s="103">
        <v>5</v>
      </c>
      <c r="AE32" s="103">
        <f t="shared" si="0"/>
        <v>0</v>
      </c>
      <c r="AF32" s="42">
        <f t="shared" ref="AF32:AF53" si="8">AE32+4</f>
        <v>4</v>
      </c>
      <c r="AI32" s="103" t="s">
        <v>656</v>
      </c>
      <c r="AJ32" s="103" t="s">
        <v>203</v>
      </c>
      <c r="AK32" s="108" t="s">
        <v>1080</v>
      </c>
      <c r="AL32" s="103">
        <v>5</v>
      </c>
      <c r="AM32" s="103">
        <f t="shared" si="2"/>
        <v>0</v>
      </c>
      <c r="AN32" s="42">
        <f t="shared" ref="AN32:AN53" si="9">AM32+4</f>
        <v>4</v>
      </c>
    </row>
    <row r="33" spans="3:40" x14ac:dyDescent="0.2">
      <c r="C33" t="s">
        <v>1014</v>
      </c>
      <c r="E33" t="s">
        <v>1013</v>
      </c>
      <c r="AA33" s="103" t="s">
        <v>655</v>
      </c>
      <c r="AB33" s="103" t="s">
        <v>203</v>
      </c>
      <c r="AC33" s="108" t="s">
        <v>1082</v>
      </c>
      <c r="AD33" s="103">
        <v>10</v>
      </c>
      <c r="AE33" s="103">
        <f t="shared" si="0"/>
        <v>1</v>
      </c>
      <c r="AF33" s="42">
        <f t="shared" si="8"/>
        <v>5</v>
      </c>
      <c r="AI33" s="103" t="s">
        <v>655</v>
      </c>
      <c r="AJ33" s="103" t="s">
        <v>203</v>
      </c>
      <c r="AK33" s="108" t="s">
        <v>946</v>
      </c>
      <c r="AL33" s="103">
        <v>8</v>
      </c>
      <c r="AM33" s="103">
        <f t="shared" si="2"/>
        <v>0</v>
      </c>
      <c r="AN33" s="42">
        <f t="shared" si="9"/>
        <v>4</v>
      </c>
    </row>
    <row r="34" spans="3:40" x14ac:dyDescent="0.2">
      <c r="C34" s="101" t="s">
        <v>1019</v>
      </c>
      <c r="H34" t="s">
        <v>1020</v>
      </c>
      <c r="AA34" s="103" t="s">
        <v>435</v>
      </c>
      <c r="AB34" s="103" t="s">
        <v>203</v>
      </c>
      <c r="AC34" s="108" t="s">
        <v>886</v>
      </c>
      <c r="AD34" s="103">
        <v>12</v>
      </c>
      <c r="AE34" s="103">
        <f t="shared" si="0"/>
        <v>1</v>
      </c>
      <c r="AF34" s="42">
        <f t="shared" si="8"/>
        <v>5</v>
      </c>
      <c r="AI34" s="103" t="s">
        <v>435</v>
      </c>
      <c r="AJ34" s="103" t="s">
        <v>203</v>
      </c>
      <c r="AK34" s="108" t="s">
        <v>1082</v>
      </c>
      <c r="AL34" s="103">
        <v>10</v>
      </c>
      <c r="AM34" s="103">
        <f t="shared" si="2"/>
        <v>1</v>
      </c>
      <c r="AN34" s="42">
        <f t="shared" si="9"/>
        <v>5</v>
      </c>
    </row>
    <row r="35" spans="3:40" x14ac:dyDescent="0.2">
      <c r="C35" t="s">
        <v>1025</v>
      </c>
      <c r="E35" t="s">
        <v>1018</v>
      </c>
      <c r="AA35" s="103" t="s">
        <v>1137</v>
      </c>
      <c r="AB35" s="103" t="s">
        <v>203</v>
      </c>
      <c r="AC35" s="108" t="s">
        <v>1084</v>
      </c>
      <c r="AD35" s="103">
        <v>15</v>
      </c>
      <c r="AE35" s="103">
        <f t="shared" si="0"/>
        <v>2</v>
      </c>
      <c r="AF35" s="42">
        <f t="shared" si="8"/>
        <v>6</v>
      </c>
      <c r="AI35" s="103" t="s">
        <v>1105</v>
      </c>
      <c r="AJ35" s="103" t="s">
        <v>203</v>
      </c>
      <c r="AK35" s="108" t="s">
        <v>1084</v>
      </c>
      <c r="AL35" s="103">
        <v>15</v>
      </c>
      <c r="AM35" s="103">
        <f t="shared" si="2"/>
        <v>2</v>
      </c>
      <c r="AN35" s="42">
        <f t="shared" si="9"/>
        <v>6</v>
      </c>
    </row>
    <row r="36" spans="3:40" x14ac:dyDescent="0.2">
      <c r="C36" t="s">
        <v>1022</v>
      </c>
      <c r="E36" t="s">
        <v>1021</v>
      </c>
      <c r="N36" t="s">
        <v>1049</v>
      </c>
      <c r="AA36" s="103" t="s">
        <v>1106</v>
      </c>
      <c r="AB36" s="103" t="s">
        <v>203</v>
      </c>
      <c r="AC36" s="108" t="s">
        <v>947</v>
      </c>
      <c r="AD36" s="103">
        <v>17</v>
      </c>
      <c r="AE36" s="103">
        <f t="shared" si="0"/>
        <v>2</v>
      </c>
      <c r="AF36" s="42">
        <f t="shared" si="8"/>
        <v>6</v>
      </c>
      <c r="AI36" s="103" t="s">
        <v>1106</v>
      </c>
      <c r="AJ36" s="103" t="s">
        <v>203</v>
      </c>
      <c r="AK36" s="108" t="s">
        <v>947</v>
      </c>
      <c r="AL36" s="103">
        <v>17</v>
      </c>
      <c r="AM36" s="103">
        <f t="shared" si="2"/>
        <v>2</v>
      </c>
      <c r="AN36" s="42">
        <f t="shared" si="9"/>
        <v>6</v>
      </c>
    </row>
    <row r="37" spans="3:40" x14ac:dyDescent="0.2">
      <c r="C37" t="s">
        <v>1023</v>
      </c>
      <c r="E37" t="s">
        <v>1015</v>
      </c>
      <c r="M37">
        <v>256</v>
      </c>
      <c r="N37">
        <v>0.05</v>
      </c>
      <c r="O37">
        <f>M37*N37</f>
        <v>12.8</v>
      </c>
      <c r="AA37" s="103" t="s">
        <v>437</v>
      </c>
      <c r="AB37" s="103" t="s">
        <v>203</v>
      </c>
      <c r="AC37" s="108" t="s">
        <v>1086</v>
      </c>
      <c r="AD37" s="103">
        <v>20</v>
      </c>
      <c r="AE37" s="103">
        <f t="shared" si="0"/>
        <v>3</v>
      </c>
      <c r="AF37" s="42">
        <f t="shared" si="8"/>
        <v>7</v>
      </c>
      <c r="AI37" s="103" t="s">
        <v>437</v>
      </c>
      <c r="AJ37" s="103" t="s">
        <v>203</v>
      </c>
      <c r="AK37" s="108" t="s">
        <v>1086</v>
      </c>
      <c r="AL37" s="103">
        <v>20</v>
      </c>
      <c r="AM37" s="103">
        <f t="shared" si="2"/>
        <v>3</v>
      </c>
      <c r="AN37" s="42">
        <f t="shared" si="9"/>
        <v>7</v>
      </c>
    </row>
    <row r="38" spans="3:40" x14ac:dyDescent="0.2">
      <c r="C38" t="s">
        <v>1024</v>
      </c>
      <c r="E38" t="s">
        <v>1016</v>
      </c>
      <c r="AA38" s="103" t="s">
        <v>1107</v>
      </c>
      <c r="AB38" s="103" t="s">
        <v>203</v>
      </c>
      <c r="AC38" s="108" t="s">
        <v>543</v>
      </c>
      <c r="AD38" s="103">
        <v>25</v>
      </c>
      <c r="AE38" s="103">
        <f t="shared" si="0"/>
        <v>4</v>
      </c>
      <c r="AF38" s="42">
        <f t="shared" si="8"/>
        <v>8</v>
      </c>
      <c r="AI38" s="103" t="s">
        <v>1107</v>
      </c>
      <c r="AJ38" s="103" t="s">
        <v>203</v>
      </c>
      <c r="AK38" s="108" t="s">
        <v>543</v>
      </c>
      <c r="AL38" s="103">
        <v>25</v>
      </c>
      <c r="AM38" s="103">
        <f t="shared" si="2"/>
        <v>4</v>
      </c>
      <c r="AN38" s="42">
        <f t="shared" si="9"/>
        <v>8</v>
      </c>
    </row>
    <row r="39" spans="3:40" x14ac:dyDescent="0.2">
      <c r="C39" t="s">
        <v>1027</v>
      </c>
      <c r="E39" t="s">
        <v>1026</v>
      </c>
      <c r="AA39" s="103" t="s">
        <v>1108</v>
      </c>
      <c r="AB39" s="103" t="s">
        <v>203</v>
      </c>
      <c r="AC39" s="108" t="s">
        <v>418</v>
      </c>
      <c r="AD39" s="103">
        <v>26</v>
      </c>
      <c r="AE39" s="103">
        <f t="shared" si="0"/>
        <v>4</v>
      </c>
      <c r="AF39" s="42">
        <f t="shared" si="8"/>
        <v>8</v>
      </c>
      <c r="AI39" s="103" t="s">
        <v>1108</v>
      </c>
      <c r="AJ39" s="103" t="s">
        <v>203</v>
      </c>
      <c r="AK39" s="108" t="s">
        <v>418</v>
      </c>
      <c r="AL39" s="103">
        <v>26</v>
      </c>
      <c r="AM39" s="103">
        <f t="shared" si="2"/>
        <v>4</v>
      </c>
      <c r="AN39" s="42">
        <f t="shared" si="9"/>
        <v>8</v>
      </c>
    </row>
    <row r="40" spans="3:40" ht="18" x14ac:dyDescent="0.2">
      <c r="C40" t="s">
        <v>1028</v>
      </c>
      <c r="E40" s="102" t="s">
        <v>1029</v>
      </c>
      <c r="H40">
        <v>90</v>
      </c>
      <c r="I40" t="s">
        <v>1032</v>
      </c>
      <c r="AA40" s="103" t="s">
        <v>439</v>
      </c>
      <c r="AB40" s="103" t="s">
        <v>203</v>
      </c>
      <c r="AC40" s="108" t="s">
        <v>1109</v>
      </c>
      <c r="AD40" s="103">
        <v>30</v>
      </c>
      <c r="AE40" s="103">
        <f t="shared" si="0"/>
        <v>5</v>
      </c>
      <c r="AF40" s="42">
        <f t="shared" si="8"/>
        <v>9</v>
      </c>
      <c r="AI40" s="103" t="s">
        <v>439</v>
      </c>
      <c r="AJ40" s="103" t="s">
        <v>203</v>
      </c>
      <c r="AK40" s="108" t="s">
        <v>1109</v>
      </c>
      <c r="AL40" s="103">
        <v>30</v>
      </c>
      <c r="AM40" s="103">
        <f t="shared" si="2"/>
        <v>5</v>
      </c>
      <c r="AN40" s="42">
        <f t="shared" si="9"/>
        <v>9</v>
      </c>
    </row>
    <row r="41" spans="3:40" x14ac:dyDescent="0.2">
      <c r="AA41" s="103" t="s">
        <v>1110</v>
      </c>
      <c r="AB41" s="103" t="s">
        <v>203</v>
      </c>
      <c r="AC41" s="108" t="s">
        <v>1111</v>
      </c>
      <c r="AD41" s="103">
        <v>35</v>
      </c>
      <c r="AE41" s="103">
        <f t="shared" si="0"/>
        <v>6</v>
      </c>
      <c r="AF41" s="42">
        <f t="shared" si="8"/>
        <v>10</v>
      </c>
      <c r="AI41" s="103" t="s">
        <v>1110</v>
      </c>
      <c r="AJ41" s="103" t="s">
        <v>203</v>
      </c>
      <c r="AK41" s="108" t="s">
        <v>1111</v>
      </c>
      <c r="AL41" s="103">
        <v>35</v>
      </c>
      <c r="AM41" s="103">
        <f t="shared" si="2"/>
        <v>6</v>
      </c>
      <c r="AN41" s="42">
        <f t="shared" si="9"/>
        <v>10</v>
      </c>
    </row>
    <row r="42" spans="3:40" x14ac:dyDescent="0.2">
      <c r="AA42" s="103" t="s">
        <v>1112</v>
      </c>
      <c r="AB42" s="103" t="s">
        <v>203</v>
      </c>
      <c r="AC42" s="108" t="s">
        <v>1113</v>
      </c>
      <c r="AD42" s="103">
        <v>36</v>
      </c>
      <c r="AE42" s="103">
        <f t="shared" si="0"/>
        <v>6</v>
      </c>
      <c r="AF42" s="42">
        <f t="shared" si="8"/>
        <v>10</v>
      </c>
      <c r="AI42" s="103" t="s">
        <v>1112</v>
      </c>
      <c r="AJ42" s="103" t="s">
        <v>203</v>
      </c>
      <c r="AK42" s="108" t="s">
        <v>1113</v>
      </c>
      <c r="AL42" s="103">
        <v>36</v>
      </c>
      <c r="AM42" s="103">
        <f t="shared" si="2"/>
        <v>6</v>
      </c>
      <c r="AN42" s="42">
        <f t="shared" si="9"/>
        <v>10</v>
      </c>
    </row>
    <row r="43" spans="3:40" x14ac:dyDescent="0.2">
      <c r="I43" t="s">
        <v>347</v>
      </c>
      <c r="J43">
        <v>1</v>
      </c>
      <c r="K43" t="s">
        <v>289</v>
      </c>
      <c r="AA43" s="103" t="s">
        <v>441</v>
      </c>
      <c r="AB43" s="103" t="s">
        <v>203</v>
      </c>
      <c r="AC43" s="108" t="s">
        <v>1114</v>
      </c>
      <c r="AD43" s="103">
        <v>40</v>
      </c>
      <c r="AE43" s="103">
        <f>(AD43-5)/5</f>
        <v>7</v>
      </c>
      <c r="AF43" s="42">
        <f t="shared" si="8"/>
        <v>11</v>
      </c>
      <c r="AI43" s="103" t="s">
        <v>441</v>
      </c>
      <c r="AJ43" s="103" t="s">
        <v>203</v>
      </c>
      <c r="AK43" s="108" t="s">
        <v>1114</v>
      </c>
      <c r="AL43" s="103">
        <v>40</v>
      </c>
      <c r="AM43" s="103">
        <f>(AL43-5)/5</f>
        <v>7</v>
      </c>
      <c r="AN43" s="42">
        <f t="shared" si="9"/>
        <v>11</v>
      </c>
    </row>
    <row r="44" spans="3:40" x14ac:dyDescent="0.2">
      <c r="K44">
        <v>50</v>
      </c>
      <c r="L44">
        <f>L46</f>
        <v>10</v>
      </c>
      <c r="M44">
        <f t="shared" ref="M44:P44" si="10">M46</f>
        <v>8</v>
      </c>
      <c r="N44">
        <f t="shared" si="10"/>
        <v>6</v>
      </c>
      <c r="O44">
        <f t="shared" si="10"/>
        <v>4</v>
      </c>
      <c r="P44">
        <f t="shared" si="10"/>
        <v>2</v>
      </c>
      <c r="AA44" s="103" t="s">
        <v>1115</v>
      </c>
      <c r="AB44" s="103" t="s">
        <v>203</v>
      </c>
      <c r="AC44" s="108" t="s">
        <v>1116</v>
      </c>
      <c r="AD44" s="103">
        <v>45</v>
      </c>
      <c r="AE44" s="103">
        <f t="shared" ref="AE44:AE75" si="11">FLOOR((AD44-5)/5,1)</f>
        <v>8</v>
      </c>
      <c r="AF44" s="42">
        <f t="shared" si="8"/>
        <v>12</v>
      </c>
      <c r="AI44" s="103" t="s">
        <v>1115</v>
      </c>
      <c r="AJ44" s="103" t="s">
        <v>203</v>
      </c>
      <c r="AK44" s="108" t="s">
        <v>1116</v>
      </c>
      <c r="AL44" s="103">
        <v>45</v>
      </c>
      <c r="AM44" s="103">
        <f t="shared" ref="AM44:AM75" si="12">FLOOR((AL44-5)/5,1)</f>
        <v>8</v>
      </c>
      <c r="AN44" s="42">
        <f t="shared" si="9"/>
        <v>12</v>
      </c>
    </row>
    <row r="45" spans="3:40" x14ac:dyDescent="0.2">
      <c r="J45" t="s">
        <v>1041</v>
      </c>
      <c r="K45" t="s">
        <v>1047</v>
      </c>
      <c r="L45" t="s">
        <v>367</v>
      </c>
      <c r="M45" t="s">
        <v>387</v>
      </c>
      <c r="N45" t="s">
        <v>317</v>
      </c>
      <c r="O45" t="s">
        <v>203</v>
      </c>
      <c r="P45" t="s">
        <v>1040</v>
      </c>
      <c r="AA45" s="103" t="s">
        <v>1117</v>
      </c>
      <c r="AB45" s="103" t="s">
        <v>203</v>
      </c>
      <c r="AC45" s="108" t="s">
        <v>363</v>
      </c>
      <c r="AD45" s="103">
        <v>47</v>
      </c>
      <c r="AE45" s="103">
        <f t="shared" si="11"/>
        <v>8</v>
      </c>
      <c r="AF45" s="42">
        <f t="shared" si="8"/>
        <v>12</v>
      </c>
      <c r="AI45" s="103" t="s">
        <v>1117</v>
      </c>
      <c r="AJ45" s="103" t="s">
        <v>203</v>
      </c>
      <c r="AK45" s="108" t="s">
        <v>363</v>
      </c>
      <c r="AL45" s="103">
        <v>47</v>
      </c>
      <c r="AM45" s="103">
        <f t="shared" si="12"/>
        <v>8</v>
      </c>
      <c r="AN45" s="42">
        <f t="shared" si="9"/>
        <v>12</v>
      </c>
    </row>
    <row r="46" spans="3:40" x14ac:dyDescent="0.2">
      <c r="J46" t="s">
        <v>690</v>
      </c>
      <c r="K46">
        <v>12</v>
      </c>
      <c r="L46">
        <v>10</v>
      </c>
      <c r="M46">
        <v>8</v>
      </c>
      <c r="N46">
        <v>6</v>
      </c>
      <c r="O46">
        <v>4</v>
      </c>
      <c r="P46">
        <v>2</v>
      </c>
      <c r="AA46" s="103" t="s">
        <v>443</v>
      </c>
      <c r="AB46" s="103" t="s">
        <v>203</v>
      </c>
      <c r="AC46" s="108" t="s">
        <v>1118</v>
      </c>
      <c r="AD46" s="103">
        <v>50</v>
      </c>
      <c r="AE46" s="103">
        <f t="shared" si="11"/>
        <v>9</v>
      </c>
      <c r="AF46" s="42">
        <f t="shared" si="8"/>
        <v>13</v>
      </c>
      <c r="AI46" s="103" t="s">
        <v>443</v>
      </c>
      <c r="AJ46" s="103" t="s">
        <v>203</v>
      </c>
      <c r="AK46" s="108" t="s">
        <v>1118</v>
      </c>
      <c r="AL46" s="103">
        <v>50</v>
      </c>
      <c r="AM46" s="103">
        <f t="shared" si="12"/>
        <v>9</v>
      </c>
      <c r="AN46" s="42">
        <f t="shared" si="9"/>
        <v>13</v>
      </c>
    </row>
    <row r="47" spans="3:40" x14ac:dyDescent="0.2">
      <c r="C47" s="2" t="s">
        <v>1063</v>
      </c>
      <c r="D47" s="2"/>
      <c r="E47" s="2" t="s">
        <v>407</v>
      </c>
      <c r="F47" s="2"/>
      <c r="G47" s="2" t="s">
        <v>103</v>
      </c>
      <c r="H47" s="2"/>
      <c r="I47" s="2">
        <v>0</v>
      </c>
      <c r="J47" s="2">
        <v>5</v>
      </c>
      <c r="K47" s="2">
        <f>K$44*POWER(2,$J47/5 -1)</f>
        <v>50</v>
      </c>
      <c r="L47" s="2">
        <f>POWER(L$46,$J47/5)</f>
        <v>10</v>
      </c>
      <c r="M47" s="2">
        <f t="shared" ref="M47:P58" si="13">POWER(M$46,$J47/5)</f>
        <v>8</v>
      </c>
      <c r="N47" s="2">
        <f t="shared" si="13"/>
        <v>6</v>
      </c>
      <c r="O47" s="2">
        <f t="shared" si="13"/>
        <v>4</v>
      </c>
      <c r="P47" s="2">
        <f t="shared" si="13"/>
        <v>2</v>
      </c>
      <c r="Q47" t="s">
        <v>1064</v>
      </c>
      <c r="Y47" t="s">
        <v>955</v>
      </c>
      <c r="AA47" s="103" t="s">
        <v>444</v>
      </c>
      <c r="AB47" s="103" t="s">
        <v>203</v>
      </c>
      <c r="AC47" s="108" t="s">
        <v>1119</v>
      </c>
      <c r="AD47" s="103">
        <v>55</v>
      </c>
      <c r="AE47" s="103">
        <f t="shared" si="11"/>
        <v>10</v>
      </c>
      <c r="AF47" s="42">
        <f t="shared" si="8"/>
        <v>14</v>
      </c>
      <c r="AI47" s="103" t="s">
        <v>444</v>
      </c>
      <c r="AJ47" s="103" t="s">
        <v>203</v>
      </c>
      <c r="AK47" s="108" t="s">
        <v>1119</v>
      </c>
      <c r="AL47" s="103">
        <v>55</v>
      </c>
      <c r="AM47" s="103">
        <f t="shared" si="12"/>
        <v>10</v>
      </c>
      <c r="AN47" s="42">
        <f t="shared" si="9"/>
        <v>14</v>
      </c>
    </row>
    <row r="48" spans="3:40" x14ac:dyDescent="0.2">
      <c r="C48" t="s">
        <v>397</v>
      </c>
      <c r="E48" t="s">
        <v>413</v>
      </c>
      <c r="G48" t="s">
        <v>99</v>
      </c>
      <c r="I48">
        <v>1</v>
      </c>
      <c r="J48">
        <v>10</v>
      </c>
      <c r="K48">
        <f t="shared" ref="K48:K58" si="14">K$44*POWER(2,$J48/5 -1)</f>
        <v>100</v>
      </c>
      <c r="L48">
        <f t="shared" ref="L48:L58" si="15">POWER(L$46,$J48/5)</f>
        <v>100</v>
      </c>
      <c r="M48">
        <f t="shared" si="13"/>
        <v>64</v>
      </c>
      <c r="N48">
        <f t="shared" si="13"/>
        <v>36</v>
      </c>
      <c r="O48">
        <f t="shared" si="13"/>
        <v>16</v>
      </c>
      <c r="P48">
        <f t="shared" si="13"/>
        <v>4</v>
      </c>
      <c r="Y48" t="s">
        <v>416</v>
      </c>
      <c r="AA48" s="103" t="s">
        <v>445</v>
      </c>
      <c r="AB48" s="103" t="s">
        <v>203</v>
      </c>
      <c r="AC48" s="108" t="s">
        <v>1120</v>
      </c>
      <c r="AD48" s="103">
        <v>60</v>
      </c>
      <c r="AE48" s="103">
        <f t="shared" si="11"/>
        <v>11</v>
      </c>
      <c r="AF48" s="42">
        <f t="shared" si="8"/>
        <v>15</v>
      </c>
      <c r="AI48" s="103" t="s">
        <v>445</v>
      </c>
      <c r="AJ48" s="103" t="s">
        <v>203</v>
      </c>
      <c r="AK48" s="108" t="s">
        <v>1120</v>
      </c>
      <c r="AL48" s="103">
        <v>60</v>
      </c>
      <c r="AM48" s="103">
        <f t="shared" si="12"/>
        <v>11</v>
      </c>
      <c r="AN48" s="42">
        <f t="shared" si="9"/>
        <v>15</v>
      </c>
    </row>
    <row r="49" spans="3:40" x14ac:dyDescent="0.2">
      <c r="C49" t="s">
        <v>389</v>
      </c>
      <c r="E49" t="s">
        <v>417</v>
      </c>
      <c r="G49" t="s">
        <v>98</v>
      </c>
      <c r="I49">
        <v>2</v>
      </c>
      <c r="J49">
        <v>15</v>
      </c>
      <c r="K49">
        <f t="shared" si="14"/>
        <v>200</v>
      </c>
      <c r="L49">
        <f t="shared" si="15"/>
        <v>1000</v>
      </c>
      <c r="M49">
        <f t="shared" si="13"/>
        <v>512</v>
      </c>
      <c r="N49">
        <f t="shared" si="13"/>
        <v>216</v>
      </c>
      <c r="O49">
        <f t="shared" si="13"/>
        <v>64</v>
      </c>
      <c r="P49">
        <f t="shared" si="13"/>
        <v>8</v>
      </c>
      <c r="Y49" t="s">
        <v>1056</v>
      </c>
      <c r="AA49" s="103" t="s">
        <v>446</v>
      </c>
      <c r="AB49" s="103" t="s">
        <v>203</v>
      </c>
      <c r="AC49" s="105"/>
      <c r="AD49" s="103">
        <v>65</v>
      </c>
      <c r="AE49" s="103">
        <f t="shared" si="11"/>
        <v>12</v>
      </c>
      <c r="AF49" s="42">
        <f t="shared" si="8"/>
        <v>16</v>
      </c>
      <c r="AI49" s="103" t="s">
        <v>446</v>
      </c>
      <c r="AJ49" s="103" t="s">
        <v>203</v>
      </c>
      <c r="AK49" s="105"/>
      <c r="AL49" s="103">
        <v>65</v>
      </c>
      <c r="AM49" s="103">
        <f t="shared" si="12"/>
        <v>12</v>
      </c>
      <c r="AN49" s="42">
        <f t="shared" si="9"/>
        <v>16</v>
      </c>
    </row>
    <row r="50" spans="3:40" x14ac:dyDescent="0.2">
      <c r="C50" t="s">
        <v>1062</v>
      </c>
      <c r="E50" t="s">
        <v>419</v>
      </c>
      <c r="G50" t="s">
        <v>100</v>
      </c>
      <c r="I50">
        <v>3</v>
      </c>
      <c r="J50">
        <v>20</v>
      </c>
      <c r="K50">
        <f t="shared" si="14"/>
        <v>400</v>
      </c>
      <c r="L50">
        <f t="shared" si="15"/>
        <v>10000</v>
      </c>
      <c r="M50">
        <f t="shared" si="13"/>
        <v>4096</v>
      </c>
      <c r="N50">
        <f t="shared" si="13"/>
        <v>1296</v>
      </c>
      <c r="O50">
        <f t="shared" si="13"/>
        <v>256</v>
      </c>
      <c r="P50">
        <f t="shared" si="13"/>
        <v>16</v>
      </c>
      <c r="Y50" t="s">
        <v>1057</v>
      </c>
      <c r="AA50" s="103" t="s">
        <v>447</v>
      </c>
      <c r="AB50" s="103" t="s">
        <v>203</v>
      </c>
      <c r="AC50" s="105"/>
      <c r="AD50" s="103">
        <v>70</v>
      </c>
      <c r="AE50" s="103">
        <f t="shared" si="11"/>
        <v>13</v>
      </c>
      <c r="AF50" s="42">
        <f t="shared" si="8"/>
        <v>17</v>
      </c>
      <c r="AI50" s="103" t="s">
        <v>447</v>
      </c>
      <c r="AJ50" s="103" t="s">
        <v>203</v>
      </c>
      <c r="AK50" s="105"/>
      <c r="AL50" s="103">
        <v>70</v>
      </c>
      <c r="AM50" s="103">
        <f t="shared" si="12"/>
        <v>13</v>
      </c>
      <c r="AN50" s="42">
        <f t="shared" si="9"/>
        <v>17</v>
      </c>
    </row>
    <row r="51" spans="3:40" x14ac:dyDescent="0.2">
      <c r="C51" t="s">
        <v>1060</v>
      </c>
      <c r="E51" t="s">
        <v>423</v>
      </c>
      <c r="G51" t="s">
        <v>102</v>
      </c>
      <c r="I51">
        <v>4</v>
      </c>
      <c r="J51">
        <v>25</v>
      </c>
      <c r="K51">
        <f t="shared" si="14"/>
        <v>800</v>
      </c>
      <c r="L51">
        <f t="shared" si="15"/>
        <v>100000</v>
      </c>
      <c r="M51">
        <f t="shared" si="13"/>
        <v>32768</v>
      </c>
      <c r="N51">
        <f t="shared" si="13"/>
        <v>7776</v>
      </c>
      <c r="O51">
        <f t="shared" si="13"/>
        <v>1024</v>
      </c>
      <c r="P51">
        <f t="shared" si="13"/>
        <v>32</v>
      </c>
      <c r="Y51" t="s">
        <v>1058</v>
      </c>
      <c r="AA51" s="103" t="s">
        <v>448</v>
      </c>
      <c r="AB51" s="103" t="s">
        <v>203</v>
      </c>
      <c r="AC51" s="105"/>
      <c r="AD51" s="103">
        <v>75</v>
      </c>
      <c r="AE51" s="103">
        <f t="shared" si="11"/>
        <v>14</v>
      </c>
      <c r="AF51" s="42">
        <f t="shared" si="8"/>
        <v>18</v>
      </c>
      <c r="AI51" s="103" t="s">
        <v>448</v>
      </c>
      <c r="AJ51" s="103" t="s">
        <v>203</v>
      </c>
      <c r="AK51" s="105"/>
      <c r="AL51" s="103">
        <v>75</v>
      </c>
      <c r="AM51" s="103">
        <f t="shared" si="12"/>
        <v>14</v>
      </c>
      <c r="AN51" s="42">
        <f t="shared" si="9"/>
        <v>18</v>
      </c>
    </row>
    <row r="52" spans="3:40" x14ac:dyDescent="0.2">
      <c r="C52" s="2" t="s">
        <v>1061</v>
      </c>
      <c r="D52" s="2"/>
      <c r="E52" s="2" t="s">
        <v>425</v>
      </c>
      <c r="F52" s="2"/>
      <c r="G52" s="2" t="s">
        <v>101</v>
      </c>
      <c r="H52" s="2"/>
      <c r="I52" s="2">
        <v>5</v>
      </c>
      <c r="J52" s="2">
        <v>30</v>
      </c>
      <c r="K52" s="2">
        <f t="shared" si="14"/>
        <v>1600</v>
      </c>
      <c r="L52" s="2">
        <f t="shared" si="15"/>
        <v>1000000</v>
      </c>
      <c r="M52" s="2">
        <f t="shared" si="13"/>
        <v>262144</v>
      </c>
      <c r="N52" s="2">
        <f t="shared" si="13"/>
        <v>46656</v>
      </c>
      <c r="O52" s="2">
        <f t="shared" si="13"/>
        <v>4096</v>
      </c>
      <c r="P52" s="2">
        <f t="shared" si="13"/>
        <v>64</v>
      </c>
      <c r="Y52" t="s">
        <v>1059</v>
      </c>
      <c r="AA52" s="103" t="s">
        <v>449</v>
      </c>
      <c r="AB52" s="103" t="s">
        <v>203</v>
      </c>
      <c r="AC52" s="105"/>
      <c r="AD52" s="103">
        <v>80</v>
      </c>
      <c r="AE52" s="103">
        <f t="shared" si="11"/>
        <v>15</v>
      </c>
      <c r="AF52" s="42">
        <f t="shared" si="8"/>
        <v>19</v>
      </c>
      <c r="AI52" s="103" t="s">
        <v>449</v>
      </c>
      <c r="AJ52" s="103" t="s">
        <v>203</v>
      </c>
      <c r="AK52" s="105"/>
      <c r="AL52" s="103">
        <v>80</v>
      </c>
      <c r="AM52" s="103">
        <f t="shared" si="12"/>
        <v>15</v>
      </c>
      <c r="AN52" s="42">
        <f t="shared" si="9"/>
        <v>19</v>
      </c>
    </row>
    <row r="53" spans="3:40" x14ac:dyDescent="0.2">
      <c r="C53" t="s">
        <v>1039</v>
      </c>
      <c r="E53" t="s">
        <v>426</v>
      </c>
      <c r="G53" t="s">
        <v>104</v>
      </c>
      <c r="I53">
        <v>6</v>
      </c>
      <c r="J53">
        <v>35</v>
      </c>
      <c r="K53">
        <f t="shared" si="14"/>
        <v>3200</v>
      </c>
      <c r="L53">
        <f t="shared" si="15"/>
        <v>10000000</v>
      </c>
      <c r="M53">
        <f t="shared" si="13"/>
        <v>2097152</v>
      </c>
      <c r="N53">
        <f t="shared" si="13"/>
        <v>279936</v>
      </c>
      <c r="O53">
        <f t="shared" si="13"/>
        <v>16384</v>
      </c>
      <c r="P53">
        <f t="shared" si="13"/>
        <v>128</v>
      </c>
      <c r="Y53" t="s">
        <v>642</v>
      </c>
      <c r="AA53" s="103" t="s">
        <v>450</v>
      </c>
      <c r="AB53" s="103" t="s">
        <v>203</v>
      </c>
      <c r="AC53" s="105"/>
      <c r="AD53" s="103">
        <v>90</v>
      </c>
      <c r="AE53" s="103">
        <f t="shared" si="11"/>
        <v>17</v>
      </c>
      <c r="AF53" s="42">
        <f t="shared" si="8"/>
        <v>21</v>
      </c>
      <c r="AI53" s="103" t="s">
        <v>450</v>
      </c>
      <c r="AJ53" s="103" t="s">
        <v>203</v>
      </c>
      <c r="AK53" s="105"/>
      <c r="AL53" s="103">
        <v>90</v>
      </c>
      <c r="AM53" s="103">
        <f t="shared" si="12"/>
        <v>17</v>
      </c>
      <c r="AN53" s="42">
        <f t="shared" si="9"/>
        <v>21</v>
      </c>
    </row>
    <row r="54" spans="3:40" x14ac:dyDescent="0.2">
      <c r="C54" t="s">
        <v>1036</v>
      </c>
      <c r="E54" t="s">
        <v>427</v>
      </c>
      <c r="G54" t="s">
        <v>456</v>
      </c>
      <c r="I54">
        <v>7</v>
      </c>
      <c r="J54">
        <v>40</v>
      </c>
      <c r="K54">
        <f t="shared" si="14"/>
        <v>6400</v>
      </c>
      <c r="L54">
        <f t="shared" si="15"/>
        <v>100000000</v>
      </c>
      <c r="M54">
        <f t="shared" si="13"/>
        <v>16777216</v>
      </c>
      <c r="N54">
        <f t="shared" si="13"/>
        <v>1679616</v>
      </c>
      <c r="O54">
        <f t="shared" si="13"/>
        <v>65536</v>
      </c>
      <c r="P54">
        <f t="shared" si="13"/>
        <v>256</v>
      </c>
      <c r="Y54" t="s">
        <v>378</v>
      </c>
      <c r="AA54" s="103" t="s">
        <v>452</v>
      </c>
      <c r="AB54" s="103" t="s">
        <v>367</v>
      </c>
      <c r="AC54" s="104" t="s">
        <v>1034</v>
      </c>
      <c r="AD54" s="103">
        <v>2</v>
      </c>
      <c r="AE54" s="103">
        <f t="shared" si="11"/>
        <v>-1</v>
      </c>
      <c r="AF54">
        <f t="shared" ref="AF54:AF72" si="16">AE54+10</f>
        <v>9</v>
      </c>
      <c r="AI54" s="103" t="s">
        <v>452</v>
      </c>
      <c r="AJ54" s="103" t="s">
        <v>367</v>
      </c>
      <c r="AK54" s="104" t="s">
        <v>1034</v>
      </c>
      <c r="AL54" s="103">
        <v>2</v>
      </c>
      <c r="AM54" s="103">
        <f t="shared" si="12"/>
        <v>-1</v>
      </c>
      <c r="AN54">
        <f t="shared" ref="AN54:AN72" si="17">AM54+10</f>
        <v>9</v>
      </c>
    </row>
    <row r="55" spans="3:40" x14ac:dyDescent="0.2">
      <c r="C55" t="s">
        <v>395</v>
      </c>
      <c r="E55" t="s">
        <v>429</v>
      </c>
      <c r="G55" t="s">
        <v>1055</v>
      </c>
      <c r="I55">
        <v>8</v>
      </c>
      <c r="J55">
        <v>45</v>
      </c>
      <c r="K55">
        <f t="shared" si="14"/>
        <v>12800</v>
      </c>
      <c r="L55">
        <f t="shared" si="15"/>
        <v>1000000000</v>
      </c>
      <c r="M55">
        <f t="shared" si="13"/>
        <v>134217728</v>
      </c>
      <c r="N55">
        <f t="shared" si="13"/>
        <v>10077696</v>
      </c>
      <c r="O55">
        <f t="shared" si="13"/>
        <v>262144</v>
      </c>
      <c r="P55">
        <f t="shared" si="13"/>
        <v>512</v>
      </c>
      <c r="T55" t="s">
        <v>1011</v>
      </c>
      <c r="U55">
        <v>8</v>
      </c>
      <c r="Y55" t="s">
        <v>348</v>
      </c>
      <c r="AA55" s="103" t="s">
        <v>103</v>
      </c>
      <c r="AB55" s="103" t="s">
        <v>367</v>
      </c>
      <c r="AC55" s="104" t="s">
        <v>946</v>
      </c>
      <c r="AD55" s="103">
        <v>5</v>
      </c>
      <c r="AE55" s="103">
        <f t="shared" si="11"/>
        <v>0</v>
      </c>
      <c r="AF55">
        <f t="shared" si="16"/>
        <v>10</v>
      </c>
      <c r="AI55" s="103" t="s">
        <v>103</v>
      </c>
      <c r="AJ55" s="103" t="s">
        <v>367</v>
      </c>
      <c r="AK55" s="104" t="s">
        <v>946</v>
      </c>
      <c r="AL55" s="103">
        <v>5</v>
      </c>
      <c r="AM55" s="103">
        <f t="shared" si="12"/>
        <v>0</v>
      </c>
      <c r="AN55">
        <f t="shared" si="17"/>
        <v>10</v>
      </c>
    </row>
    <row r="56" spans="3:40" x14ac:dyDescent="0.2">
      <c r="C56" t="s">
        <v>1037</v>
      </c>
      <c r="E56" t="s">
        <v>431</v>
      </c>
      <c r="G56" t="s">
        <v>460</v>
      </c>
      <c r="I56">
        <v>9</v>
      </c>
      <c r="J56">
        <v>50</v>
      </c>
      <c r="K56">
        <f t="shared" si="14"/>
        <v>25600</v>
      </c>
      <c r="L56">
        <f t="shared" si="15"/>
        <v>10000000000</v>
      </c>
      <c r="M56">
        <f t="shared" si="13"/>
        <v>1073741824</v>
      </c>
      <c r="N56">
        <f t="shared" si="13"/>
        <v>60466176</v>
      </c>
      <c r="O56">
        <f t="shared" si="13"/>
        <v>1048576</v>
      </c>
      <c r="P56">
        <f t="shared" si="13"/>
        <v>1024</v>
      </c>
      <c r="T56">
        <v>1</v>
      </c>
      <c r="U56">
        <f>T56*T56*$U$55</f>
        <v>8</v>
      </c>
      <c r="V56">
        <f>U56*500</f>
        <v>4000</v>
      </c>
      <c r="Y56" t="s">
        <v>428</v>
      </c>
      <c r="AA56" s="103" t="s">
        <v>99</v>
      </c>
      <c r="AB56" s="103" t="s">
        <v>367</v>
      </c>
      <c r="AC56" s="104" t="s">
        <v>416</v>
      </c>
      <c r="AD56" s="103">
        <v>10</v>
      </c>
      <c r="AE56" s="103">
        <f t="shared" si="11"/>
        <v>1</v>
      </c>
      <c r="AF56">
        <f t="shared" si="16"/>
        <v>11</v>
      </c>
      <c r="AI56" s="103" t="s">
        <v>99</v>
      </c>
      <c r="AJ56" s="103" t="s">
        <v>367</v>
      </c>
      <c r="AK56" s="104" t="s">
        <v>416</v>
      </c>
      <c r="AL56" s="103">
        <v>10</v>
      </c>
      <c r="AM56" s="103">
        <f t="shared" si="12"/>
        <v>1</v>
      </c>
      <c r="AN56">
        <f t="shared" si="17"/>
        <v>11</v>
      </c>
    </row>
    <row r="57" spans="3:40" x14ac:dyDescent="0.2">
      <c r="C57" s="2" t="s">
        <v>1035</v>
      </c>
      <c r="D57" s="2"/>
      <c r="E57" s="2" t="s">
        <v>433</v>
      </c>
      <c r="F57" s="2"/>
      <c r="G57" s="2" t="s">
        <v>462</v>
      </c>
      <c r="H57" s="2"/>
      <c r="I57" s="2">
        <v>10</v>
      </c>
      <c r="J57" s="2">
        <v>55</v>
      </c>
      <c r="K57" s="2">
        <f t="shared" si="14"/>
        <v>51200</v>
      </c>
      <c r="L57" s="2">
        <f t="shared" si="15"/>
        <v>100000000000</v>
      </c>
      <c r="M57" s="2">
        <f t="shared" si="13"/>
        <v>8589934592</v>
      </c>
      <c r="N57" s="2">
        <f t="shared" si="13"/>
        <v>362797056</v>
      </c>
      <c r="O57" s="2">
        <f t="shared" si="13"/>
        <v>4194304</v>
      </c>
      <c r="P57" s="2">
        <f t="shared" si="13"/>
        <v>2048</v>
      </c>
      <c r="S57" t="s">
        <v>1050</v>
      </c>
      <c r="T57">
        <v>5</v>
      </c>
      <c r="U57">
        <f t="shared" ref="U57:U60" si="18">T57*T57*$U$55</f>
        <v>200</v>
      </c>
      <c r="V57">
        <f t="shared" ref="V57:V60" si="19">U57*500</f>
        <v>100000</v>
      </c>
      <c r="Y57" t="s">
        <v>432</v>
      </c>
      <c r="AA57" s="103" t="s">
        <v>98</v>
      </c>
      <c r="AB57" s="103" t="s">
        <v>367</v>
      </c>
      <c r="AC57" s="104" t="s">
        <v>543</v>
      </c>
      <c r="AD57" s="103">
        <v>15</v>
      </c>
      <c r="AE57" s="103">
        <f t="shared" si="11"/>
        <v>2</v>
      </c>
      <c r="AF57">
        <f t="shared" si="16"/>
        <v>12</v>
      </c>
      <c r="AI57" s="103" t="s">
        <v>98</v>
      </c>
      <c r="AJ57" s="103" t="s">
        <v>367</v>
      </c>
      <c r="AK57" s="104" t="s">
        <v>543</v>
      </c>
      <c r="AL57" s="103">
        <v>15</v>
      </c>
      <c r="AM57" s="103">
        <f t="shared" si="12"/>
        <v>2</v>
      </c>
      <c r="AN57">
        <f t="shared" si="17"/>
        <v>12</v>
      </c>
    </row>
    <row r="58" spans="3:40" x14ac:dyDescent="0.2">
      <c r="C58" t="s">
        <v>1038</v>
      </c>
      <c r="E58" t="s">
        <v>1030</v>
      </c>
      <c r="G58" t="s">
        <v>464</v>
      </c>
      <c r="I58">
        <v>11</v>
      </c>
      <c r="J58">
        <v>60</v>
      </c>
      <c r="K58">
        <f t="shared" si="14"/>
        <v>102400</v>
      </c>
      <c r="L58">
        <f t="shared" si="15"/>
        <v>1000000000000</v>
      </c>
      <c r="M58">
        <f t="shared" si="13"/>
        <v>68719476736</v>
      </c>
      <c r="N58">
        <f t="shared" si="13"/>
        <v>2176782336</v>
      </c>
      <c r="O58">
        <f t="shared" si="13"/>
        <v>16777216</v>
      </c>
      <c r="P58">
        <f t="shared" si="13"/>
        <v>4096</v>
      </c>
      <c r="S58" t="s">
        <v>1051</v>
      </c>
      <c r="T58">
        <v>50</v>
      </c>
      <c r="U58">
        <f t="shared" si="18"/>
        <v>20000</v>
      </c>
      <c r="V58">
        <f t="shared" si="19"/>
        <v>10000000</v>
      </c>
      <c r="AA58" s="103" t="s">
        <v>100</v>
      </c>
      <c r="AB58" s="103" t="s">
        <v>367</v>
      </c>
      <c r="AC58" s="104" t="s">
        <v>378</v>
      </c>
      <c r="AD58" s="103">
        <v>20</v>
      </c>
      <c r="AE58" s="103">
        <f t="shared" si="11"/>
        <v>3</v>
      </c>
      <c r="AF58">
        <f t="shared" si="16"/>
        <v>13</v>
      </c>
      <c r="AI58" s="103" t="s">
        <v>100</v>
      </c>
      <c r="AJ58" s="103" t="s">
        <v>367</v>
      </c>
      <c r="AK58" s="104" t="s">
        <v>378</v>
      </c>
      <c r="AL58" s="103">
        <v>20</v>
      </c>
      <c r="AM58" s="103">
        <f t="shared" si="12"/>
        <v>3</v>
      </c>
      <c r="AN58">
        <f t="shared" si="17"/>
        <v>13</v>
      </c>
    </row>
    <row r="59" spans="3:40" x14ac:dyDescent="0.2">
      <c r="S59" t="s">
        <v>1052</v>
      </c>
      <c r="T59">
        <v>500</v>
      </c>
      <c r="U59">
        <f t="shared" si="18"/>
        <v>2000000</v>
      </c>
      <c r="V59">
        <f t="shared" si="19"/>
        <v>1000000000</v>
      </c>
      <c r="AA59" s="103" t="s">
        <v>102</v>
      </c>
      <c r="AB59" s="103" t="s">
        <v>367</v>
      </c>
      <c r="AC59" s="104" t="s">
        <v>357</v>
      </c>
      <c r="AD59" s="103">
        <v>25</v>
      </c>
      <c r="AE59" s="103">
        <f t="shared" si="11"/>
        <v>4</v>
      </c>
      <c r="AF59">
        <f t="shared" si="16"/>
        <v>14</v>
      </c>
      <c r="AI59" s="103" t="s">
        <v>102</v>
      </c>
      <c r="AJ59" s="103" t="s">
        <v>367</v>
      </c>
      <c r="AK59" s="104" t="s">
        <v>357</v>
      </c>
      <c r="AL59" s="103">
        <v>25</v>
      </c>
      <c r="AM59" s="103">
        <f t="shared" si="12"/>
        <v>4</v>
      </c>
      <c r="AN59">
        <f t="shared" si="17"/>
        <v>14</v>
      </c>
    </row>
    <row r="60" spans="3:40" x14ac:dyDescent="0.2">
      <c r="L60">
        <f>L56-K56</f>
        <v>9999974400</v>
      </c>
      <c r="M60">
        <f>M55-L55</f>
        <v>-865782272</v>
      </c>
      <c r="N60">
        <f t="shared" ref="N60:P60" si="20">N55-M55</f>
        <v>-124140032</v>
      </c>
      <c r="O60">
        <f t="shared" si="20"/>
        <v>-9815552</v>
      </c>
      <c r="P60">
        <f t="shared" si="20"/>
        <v>-261632</v>
      </c>
      <c r="S60" t="s">
        <v>1053</v>
      </c>
      <c r="T60">
        <v>5000</v>
      </c>
      <c r="U60">
        <f t="shared" si="18"/>
        <v>200000000</v>
      </c>
      <c r="V60">
        <f t="shared" si="19"/>
        <v>100000000000</v>
      </c>
      <c r="AA60" s="103" t="s">
        <v>101</v>
      </c>
      <c r="AB60" s="103" t="s">
        <v>367</v>
      </c>
      <c r="AC60" s="104" t="s">
        <v>1121</v>
      </c>
      <c r="AD60" s="103">
        <v>30</v>
      </c>
      <c r="AE60" s="103">
        <f t="shared" si="11"/>
        <v>5</v>
      </c>
      <c r="AF60">
        <f t="shared" si="16"/>
        <v>15</v>
      </c>
      <c r="AI60" s="103" t="s">
        <v>101</v>
      </c>
      <c r="AJ60" s="103" t="s">
        <v>367</v>
      </c>
      <c r="AK60" s="104" t="s">
        <v>1121</v>
      </c>
      <c r="AL60" s="103">
        <v>30</v>
      </c>
      <c r="AM60" s="103">
        <f t="shared" si="12"/>
        <v>5</v>
      </c>
      <c r="AN60">
        <f t="shared" si="17"/>
        <v>15</v>
      </c>
    </row>
    <row r="61" spans="3:40" x14ac:dyDescent="0.2">
      <c r="U61">
        <f>U60-K57</f>
        <v>199948800</v>
      </c>
      <c r="AA61" s="103" t="s">
        <v>104</v>
      </c>
      <c r="AB61" s="103" t="s">
        <v>367</v>
      </c>
      <c r="AC61" s="104" t="s">
        <v>1122</v>
      </c>
      <c r="AD61" s="103">
        <v>35</v>
      </c>
      <c r="AE61" s="103">
        <f t="shared" si="11"/>
        <v>6</v>
      </c>
      <c r="AF61">
        <f t="shared" si="16"/>
        <v>16</v>
      </c>
      <c r="AI61" s="103" t="s">
        <v>104</v>
      </c>
      <c r="AJ61" s="103" t="s">
        <v>367</v>
      </c>
      <c r="AK61" s="104" t="s">
        <v>1122</v>
      </c>
      <c r="AL61" s="103">
        <v>35</v>
      </c>
      <c r="AM61" s="103">
        <f t="shared" si="12"/>
        <v>6</v>
      </c>
      <c r="AN61">
        <f t="shared" si="17"/>
        <v>16</v>
      </c>
    </row>
    <row r="62" spans="3:40" x14ac:dyDescent="0.2">
      <c r="AA62" s="103" t="s">
        <v>456</v>
      </c>
      <c r="AB62" s="103" t="s">
        <v>367</v>
      </c>
      <c r="AC62" s="104" t="s">
        <v>1123</v>
      </c>
      <c r="AD62" s="103">
        <v>40</v>
      </c>
      <c r="AE62" s="103">
        <f t="shared" si="11"/>
        <v>7</v>
      </c>
      <c r="AF62">
        <f t="shared" si="16"/>
        <v>17</v>
      </c>
      <c r="AI62" s="103" t="s">
        <v>456</v>
      </c>
      <c r="AJ62" s="103" t="s">
        <v>367</v>
      </c>
      <c r="AK62" s="104" t="s">
        <v>1123</v>
      </c>
      <c r="AL62" s="103">
        <v>40</v>
      </c>
      <c r="AM62" s="103">
        <f t="shared" si="12"/>
        <v>7</v>
      </c>
      <c r="AN62">
        <f t="shared" si="17"/>
        <v>17</v>
      </c>
    </row>
    <row r="63" spans="3:40" x14ac:dyDescent="0.2">
      <c r="N63" t="s">
        <v>1048</v>
      </c>
      <c r="O63" t="s">
        <v>1009</v>
      </c>
      <c r="P63" t="s">
        <v>1010</v>
      </c>
      <c r="Q63" t="s">
        <v>1012</v>
      </c>
      <c r="R63" t="s">
        <v>1011</v>
      </c>
      <c r="AA63" s="103" t="s">
        <v>1055</v>
      </c>
      <c r="AB63" s="103" t="s">
        <v>367</v>
      </c>
      <c r="AC63" s="104" t="s">
        <v>1124</v>
      </c>
      <c r="AD63" s="103">
        <v>45</v>
      </c>
      <c r="AE63" s="103">
        <f t="shared" si="11"/>
        <v>8</v>
      </c>
      <c r="AF63">
        <f t="shared" si="16"/>
        <v>18</v>
      </c>
      <c r="AI63" s="103" t="s">
        <v>1055</v>
      </c>
      <c r="AJ63" s="103" t="s">
        <v>367</v>
      </c>
      <c r="AK63" s="104" t="s">
        <v>1124</v>
      </c>
      <c r="AL63" s="103">
        <v>45</v>
      </c>
      <c r="AM63" s="103">
        <f t="shared" si="12"/>
        <v>8</v>
      </c>
      <c r="AN63">
        <f t="shared" si="17"/>
        <v>18</v>
      </c>
    </row>
    <row r="64" spans="3:40" x14ac:dyDescent="0.2">
      <c r="D64" t="s">
        <v>344</v>
      </c>
      <c r="E64" t="s">
        <v>1042</v>
      </c>
      <c r="F64" t="s">
        <v>1043</v>
      </c>
      <c r="G64" t="s">
        <v>1044</v>
      </c>
      <c r="H64" t="s">
        <v>1046</v>
      </c>
      <c r="I64" t="s">
        <v>1044</v>
      </c>
      <c r="J64" t="s">
        <v>1045</v>
      </c>
      <c r="N64">
        <f>K57</f>
        <v>51200</v>
      </c>
      <c r="O64">
        <f>N64/100</f>
        <v>512</v>
      </c>
      <c r="P64">
        <f>O64/100</f>
        <v>5.12</v>
      </c>
      <c r="Q64">
        <f>P64/1000</f>
        <v>5.1200000000000004E-3</v>
      </c>
      <c r="R64">
        <f>Q64/5</f>
        <v>1.0240000000000002E-3</v>
      </c>
      <c r="T64" t="s">
        <v>1054</v>
      </c>
      <c r="AA64" s="103" t="s">
        <v>460</v>
      </c>
      <c r="AB64" s="103" t="s">
        <v>367</v>
      </c>
      <c r="AC64" s="104" t="s">
        <v>1125</v>
      </c>
      <c r="AD64" s="103">
        <v>50</v>
      </c>
      <c r="AE64" s="103">
        <f t="shared" si="11"/>
        <v>9</v>
      </c>
      <c r="AF64">
        <f t="shared" si="16"/>
        <v>19</v>
      </c>
      <c r="AI64" s="103" t="s">
        <v>460</v>
      </c>
      <c r="AJ64" s="103" t="s">
        <v>367</v>
      </c>
      <c r="AK64" s="104" t="s">
        <v>1125</v>
      </c>
      <c r="AL64" s="103">
        <v>50</v>
      </c>
      <c r="AM64" s="103">
        <f t="shared" si="12"/>
        <v>9</v>
      </c>
      <c r="AN64">
        <f t="shared" si="17"/>
        <v>19</v>
      </c>
    </row>
    <row r="65" spans="8:40" x14ac:dyDescent="0.2">
      <c r="H65">
        <v>6</v>
      </c>
      <c r="AA65" s="103" t="s">
        <v>462</v>
      </c>
      <c r="AB65" s="103" t="s">
        <v>367</v>
      </c>
      <c r="AC65" s="104" t="s">
        <v>1126</v>
      </c>
      <c r="AD65" s="103">
        <v>55</v>
      </c>
      <c r="AE65" s="103">
        <f t="shared" si="11"/>
        <v>10</v>
      </c>
      <c r="AF65">
        <f t="shared" si="16"/>
        <v>20</v>
      </c>
      <c r="AI65" s="103" t="s">
        <v>462</v>
      </c>
      <c r="AJ65" s="103" t="s">
        <v>367</v>
      </c>
      <c r="AK65" s="104" t="s">
        <v>1126</v>
      </c>
      <c r="AL65" s="103">
        <v>55</v>
      </c>
      <c r="AM65" s="103">
        <f t="shared" si="12"/>
        <v>10</v>
      </c>
      <c r="AN65">
        <f t="shared" si="17"/>
        <v>20</v>
      </c>
    </row>
    <row r="66" spans="8:40" x14ac:dyDescent="0.2">
      <c r="AA66" s="103" t="s">
        <v>464</v>
      </c>
      <c r="AB66" s="103" t="s">
        <v>367</v>
      </c>
      <c r="AC66" s="104"/>
      <c r="AD66" s="103">
        <v>60</v>
      </c>
      <c r="AE66" s="103">
        <f t="shared" si="11"/>
        <v>11</v>
      </c>
      <c r="AF66">
        <f t="shared" si="16"/>
        <v>21</v>
      </c>
      <c r="AI66" s="103" t="s">
        <v>464</v>
      </c>
      <c r="AJ66" s="103" t="s">
        <v>367</v>
      </c>
      <c r="AK66" s="104"/>
      <c r="AL66" s="103">
        <v>60</v>
      </c>
      <c r="AM66" s="103">
        <f t="shared" si="12"/>
        <v>11</v>
      </c>
      <c r="AN66">
        <f t="shared" si="17"/>
        <v>21</v>
      </c>
    </row>
    <row r="67" spans="8:40" x14ac:dyDescent="0.2">
      <c r="AA67" s="103" t="s">
        <v>466</v>
      </c>
      <c r="AB67" s="103" t="s">
        <v>367</v>
      </c>
      <c r="AC67" s="104"/>
      <c r="AD67" s="103">
        <v>65</v>
      </c>
      <c r="AE67" s="103">
        <f t="shared" si="11"/>
        <v>12</v>
      </c>
      <c r="AF67">
        <f t="shared" si="16"/>
        <v>22</v>
      </c>
      <c r="AI67" s="103" t="s">
        <v>466</v>
      </c>
      <c r="AJ67" s="103" t="s">
        <v>367</v>
      </c>
      <c r="AK67" s="104"/>
      <c r="AL67" s="103">
        <v>65</v>
      </c>
      <c r="AM67" s="103">
        <f t="shared" si="12"/>
        <v>12</v>
      </c>
      <c r="AN67">
        <f t="shared" si="17"/>
        <v>22</v>
      </c>
    </row>
    <row r="68" spans="8:40" x14ac:dyDescent="0.2">
      <c r="AA68" s="103" t="s">
        <v>467</v>
      </c>
      <c r="AB68" s="103" t="s">
        <v>367</v>
      </c>
      <c r="AC68" s="104"/>
      <c r="AD68" s="103">
        <v>70</v>
      </c>
      <c r="AE68" s="103">
        <f t="shared" si="11"/>
        <v>13</v>
      </c>
      <c r="AF68">
        <f t="shared" si="16"/>
        <v>23</v>
      </c>
      <c r="AI68" s="103" t="s">
        <v>467</v>
      </c>
      <c r="AJ68" s="103" t="s">
        <v>367</v>
      </c>
      <c r="AK68" s="104"/>
      <c r="AL68" s="103">
        <v>70</v>
      </c>
      <c r="AM68" s="103">
        <f t="shared" si="12"/>
        <v>13</v>
      </c>
      <c r="AN68">
        <f t="shared" si="17"/>
        <v>23</v>
      </c>
    </row>
    <row r="69" spans="8:40" x14ac:dyDescent="0.2">
      <c r="AA69" s="103" t="s">
        <v>468</v>
      </c>
      <c r="AB69" s="103" t="s">
        <v>367</v>
      </c>
      <c r="AC69" s="104"/>
      <c r="AD69" s="103">
        <v>75</v>
      </c>
      <c r="AE69" s="103">
        <f t="shared" si="11"/>
        <v>14</v>
      </c>
      <c r="AF69">
        <f t="shared" si="16"/>
        <v>24</v>
      </c>
      <c r="AI69" s="103" t="s">
        <v>468</v>
      </c>
      <c r="AJ69" s="103" t="s">
        <v>367</v>
      </c>
      <c r="AK69" s="104"/>
      <c r="AL69" s="103">
        <v>75</v>
      </c>
      <c r="AM69" s="103">
        <f t="shared" si="12"/>
        <v>14</v>
      </c>
      <c r="AN69">
        <f t="shared" si="17"/>
        <v>24</v>
      </c>
    </row>
    <row r="70" spans="8:40" x14ac:dyDescent="0.2">
      <c r="AA70" s="103" t="s">
        <v>469</v>
      </c>
      <c r="AB70" s="103" t="s">
        <v>367</v>
      </c>
      <c r="AC70" s="104"/>
      <c r="AD70" s="103">
        <v>80</v>
      </c>
      <c r="AE70" s="103">
        <f t="shared" si="11"/>
        <v>15</v>
      </c>
      <c r="AF70">
        <f t="shared" si="16"/>
        <v>25</v>
      </c>
      <c r="AI70" s="103" t="s">
        <v>469</v>
      </c>
      <c r="AJ70" s="103" t="s">
        <v>367</v>
      </c>
      <c r="AK70" s="104"/>
      <c r="AL70" s="103">
        <v>80</v>
      </c>
      <c r="AM70" s="103">
        <f t="shared" si="12"/>
        <v>15</v>
      </c>
      <c r="AN70">
        <f t="shared" si="17"/>
        <v>25</v>
      </c>
    </row>
    <row r="71" spans="8:40" x14ac:dyDescent="0.2">
      <c r="AA71" s="103" t="s">
        <v>470</v>
      </c>
      <c r="AB71" s="103" t="s">
        <v>367</v>
      </c>
      <c r="AC71" s="104"/>
      <c r="AD71" s="103">
        <v>85</v>
      </c>
      <c r="AE71" s="103">
        <f t="shared" si="11"/>
        <v>16</v>
      </c>
      <c r="AF71">
        <f t="shared" si="16"/>
        <v>26</v>
      </c>
      <c r="AI71" s="103" t="s">
        <v>470</v>
      </c>
      <c r="AJ71" s="103" t="s">
        <v>367</v>
      </c>
      <c r="AK71" s="104"/>
      <c r="AL71" s="103">
        <v>85</v>
      </c>
      <c r="AM71" s="103">
        <f t="shared" si="12"/>
        <v>16</v>
      </c>
      <c r="AN71">
        <f t="shared" si="17"/>
        <v>26</v>
      </c>
    </row>
    <row r="72" spans="8:40" x14ac:dyDescent="0.2">
      <c r="AA72" s="103" t="s">
        <v>471</v>
      </c>
      <c r="AB72" s="103" t="s">
        <v>367</v>
      </c>
      <c r="AC72" s="104"/>
      <c r="AD72" s="103">
        <v>100</v>
      </c>
      <c r="AE72" s="103">
        <f t="shared" si="11"/>
        <v>19</v>
      </c>
      <c r="AF72">
        <f t="shared" si="16"/>
        <v>29</v>
      </c>
      <c r="AI72" s="103" t="s">
        <v>471</v>
      </c>
      <c r="AJ72" s="103" t="s">
        <v>367</v>
      </c>
      <c r="AK72" s="104"/>
      <c r="AL72" s="103">
        <v>100</v>
      </c>
      <c r="AM72" s="103">
        <f t="shared" si="12"/>
        <v>19</v>
      </c>
      <c r="AN72">
        <f t="shared" si="17"/>
        <v>29</v>
      </c>
    </row>
    <row r="73" spans="8:40" x14ac:dyDescent="0.2">
      <c r="AA73" s="103" t="s">
        <v>472</v>
      </c>
      <c r="AB73" s="103" t="s">
        <v>317</v>
      </c>
      <c r="AC73" s="104" t="s">
        <v>473</v>
      </c>
      <c r="AD73" s="103">
        <v>3</v>
      </c>
      <c r="AE73" s="103">
        <f t="shared" si="11"/>
        <v>-1</v>
      </c>
      <c r="AF73">
        <f t="shared" ref="AF73:AF80" si="21">AE73+6</f>
        <v>5</v>
      </c>
      <c r="AI73" s="103" t="s">
        <v>472</v>
      </c>
      <c r="AJ73" s="103" t="s">
        <v>317</v>
      </c>
      <c r="AK73" s="104" t="s">
        <v>473</v>
      </c>
      <c r="AL73" s="103">
        <v>3</v>
      </c>
      <c r="AM73" s="103">
        <f t="shared" si="12"/>
        <v>-1</v>
      </c>
      <c r="AN73">
        <f t="shared" ref="AN73:AN80" si="22">AM73+6</f>
        <v>5</v>
      </c>
    </row>
    <row r="74" spans="8:40" x14ac:dyDescent="0.2">
      <c r="AA74" t="s">
        <v>478</v>
      </c>
      <c r="AB74" t="s">
        <v>317</v>
      </c>
      <c r="AC74" t="s">
        <v>404</v>
      </c>
      <c r="AD74">
        <v>5</v>
      </c>
      <c r="AE74" s="103">
        <f t="shared" si="11"/>
        <v>0</v>
      </c>
      <c r="AF74">
        <f t="shared" si="21"/>
        <v>6</v>
      </c>
      <c r="AI74" t="s">
        <v>478</v>
      </c>
      <c r="AJ74" t="s">
        <v>317</v>
      </c>
      <c r="AK74" t="s">
        <v>404</v>
      </c>
      <c r="AL74">
        <v>5</v>
      </c>
      <c r="AM74" s="103">
        <f t="shared" si="12"/>
        <v>0</v>
      </c>
      <c r="AN74">
        <f t="shared" si="22"/>
        <v>6</v>
      </c>
    </row>
    <row r="75" spans="8:40" x14ac:dyDescent="0.2">
      <c r="AA75" s="106" t="s">
        <v>480</v>
      </c>
      <c r="AB75" s="103" t="s">
        <v>317</v>
      </c>
      <c r="AC75" s="107" t="s">
        <v>416</v>
      </c>
      <c r="AD75" s="106">
        <v>10</v>
      </c>
      <c r="AE75" s="103">
        <f t="shared" si="11"/>
        <v>1</v>
      </c>
      <c r="AF75">
        <f t="shared" si="21"/>
        <v>7</v>
      </c>
      <c r="AI75" s="106" t="s">
        <v>480</v>
      </c>
      <c r="AJ75" s="103" t="s">
        <v>317</v>
      </c>
      <c r="AK75" s="107" t="s">
        <v>416</v>
      </c>
      <c r="AL75" s="106">
        <v>10</v>
      </c>
      <c r="AM75" s="103">
        <f t="shared" si="12"/>
        <v>1</v>
      </c>
      <c r="AN75">
        <f t="shared" si="22"/>
        <v>7</v>
      </c>
    </row>
    <row r="76" spans="8:40" x14ac:dyDescent="0.2">
      <c r="AA76" t="s">
        <v>1127</v>
      </c>
      <c r="AB76" t="s">
        <v>317</v>
      </c>
      <c r="AC76" t="s">
        <v>473</v>
      </c>
      <c r="AD76">
        <v>20</v>
      </c>
      <c r="AE76" s="103">
        <f t="shared" ref="AE76:AE97" si="23">FLOOR((AD76-5)/5,1)</f>
        <v>3</v>
      </c>
      <c r="AF76">
        <f t="shared" si="21"/>
        <v>9</v>
      </c>
      <c r="AI76" t="s">
        <v>1127</v>
      </c>
      <c r="AJ76" t="s">
        <v>317</v>
      </c>
      <c r="AK76" t="s">
        <v>473</v>
      </c>
      <c r="AL76">
        <v>20</v>
      </c>
      <c r="AM76" s="103">
        <f t="shared" ref="AM76:AM97" si="24">FLOOR((AL76-5)/5,1)</f>
        <v>3</v>
      </c>
      <c r="AN76">
        <f t="shared" si="22"/>
        <v>9</v>
      </c>
    </row>
    <row r="77" spans="8:40" x14ac:dyDescent="0.2">
      <c r="AA77" s="103" t="s">
        <v>475</v>
      </c>
      <c r="AB77" s="103" t="s">
        <v>317</v>
      </c>
      <c r="AC77" s="104" t="s">
        <v>363</v>
      </c>
      <c r="AD77" s="103">
        <v>25</v>
      </c>
      <c r="AE77" s="103">
        <f t="shared" si="23"/>
        <v>4</v>
      </c>
      <c r="AF77">
        <f t="shared" si="21"/>
        <v>10</v>
      </c>
      <c r="AI77" s="103" t="s">
        <v>475</v>
      </c>
      <c r="AJ77" s="103" t="s">
        <v>317</v>
      </c>
      <c r="AK77" s="104" t="s">
        <v>363</v>
      </c>
      <c r="AL77" s="103">
        <v>25</v>
      </c>
      <c r="AM77" s="103">
        <f t="shared" si="24"/>
        <v>4</v>
      </c>
      <c r="AN77">
        <f t="shared" si="22"/>
        <v>10</v>
      </c>
    </row>
    <row r="78" spans="8:40" x14ac:dyDescent="0.2">
      <c r="AA78" s="106" t="s">
        <v>477</v>
      </c>
      <c r="AB78" s="103" t="s">
        <v>317</v>
      </c>
      <c r="AC78" s="107" t="s">
        <v>473</v>
      </c>
      <c r="AD78" s="106">
        <v>55</v>
      </c>
      <c r="AE78" s="103">
        <f t="shared" si="23"/>
        <v>10</v>
      </c>
      <c r="AF78">
        <f t="shared" si="21"/>
        <v>16</v>
      </c>
      <c r="AI78" s="106" t="s">
        <v>477</v>
      </c>
      <c r="AJ78" s="103" t="s">
        <v>317</v>
      </c>
      <c r="AK78" s="107" t="s">
        <v>473</v>
      </c>
      <c r="AL78" s="106">
        <v>55</v>
      </c>
      <c r="AM78" s="103">
        <f t="shared" si="24"/>
        <v>10</v>
      </c>
      <c r="AN78">
        <f t="shared" si="22"/>
        <v>16</v>
      </c>
    </row>
    <row r="79" spans="8:40" x14ac:dyDescent="0.2">
      <c r="AA79" s="106" t="s">
        <v>481</v>
      </c>
      <c r="AB79" s="103" t="s">
        <v>317</v>
      </c>
      <c r="AC79" s="107" t="s">
        <v>473</v>
      </c>
      <c r="AD79" s="106">
        <v>115</v>
      </c>
      <c r="AE79" s="103">
        <f t="shared" si="23"/>
        <v>22</v>
      </c>
      <c r="AF79">
        <f t="shared" si="21"/>
        <v>28</v>
      </c>
      <c r="AI79" s="106" t="s">
        <v>481</v>
      </c>
      <c r="AJ79" s="103" t="s">
        <v>317</v>
      </c>
      <c r="AK79" s="107" t="s">
        <v>473</v>
      </c>
      <c r="AL79" s="106">
        <v>115</v>
      </c>
      <c r="AM79" s="103">
        <f t="shared" si="24"/>
        <v>22</v>
      </c>
      <c r="AN79">
        <f t="shared" si="22"/>
        <v>28</v>
      </c>
    </row>
    <row r="80" spans="8:40" x14ac:dyDescent="0.2">
      <c r="AA80" s="106" t="s">
        <v>482</v>
      </c>
      <c r="AB80" s="103" t="s">
        <v>317</v>
      </c>
      <c r="AC80" s="107" t="s">
        <v>473</v>
      </c>
      <c r="AD80" s="106">
        <v>150</v>
      </c>
      <c r="AE80" s="103">
        <f t="shared" si="23"/>
        <v>29</v>
      </c>
      <c r="AF80">
        <f t="shared" si="21"/>
        <v>35</v>
      </c>
      <c r="AI80" s="106" t="s">
        <v>482</v>
      </c>
      <c r="AJ80" s="103" t="s">
        <v>317</v>
      </c>
      <c r="AK80" s="107" t="s">
        <v>473</v>
      </c>
      <c r="AL80" s="106">
        <v>150</v>
      </c>
      <c r="AM80" s="103">
        <f t="shared" si="24"/>
        <v>29</v>
      </c>
      <c r="AN80">
        <f t="shared" si="22"/>
        <v>35</v>
      </c>
    </row>
    <row r="81" spans="27:40" x14ac:dyDescent="0.2">
      <c r="AA81" s="103" t="s">
        <v>483</v>
      </c>
      <c r="AB81" s="103" t="s">
        <v>387</v>
      </c>
      <c r="AC81" s="104" t="s">
        <v>1081</v>
      </c>
      <c r="AD81" s="103">
        <v>5</v>
      </c>
      <c r="AE81" s="103">
        <f t="shared" si="23"/>
        <v>0</v>
      </c>
      <c r="AF81">
        <f t="shared" ref="AF81:AF97" si="25">AE81+8</f>
        <v>8</v>
      </c>
      <c r="AI81" s="103" t="s">
        <v>483</v>
      </c>
      <c r="AJ81" s="103" t="s">
        <v>387</v>
      </c>
      <c r="AK81" s="104" t="s">
        <v>1081</v>
      </c>
      <c r="AL81" s="103">
        <v>5</v>
      </c>
      <c r="AM81" s="103">
        <f t="shared" si="24"/>
        <v>0</v>
      </c>
      <c r="AN81">
        <f t="shared" ref="AN81:AN97" si="26">AM81+8</f>
        <v>8</v>
      </c>
    </row>
    <row r="82" spans="27:40" x14ac:dyDescent="0.2">
      <c r="AA82" s="103" t="s">
        <v>484</v>
      </c>
      <c r="AB82" s="103" t="s">
        <v>387</v>
      </c>
      <c r="AC82" s="104" t="s">
        <v>1084</v>
      </c>
      <c r="AD82" s="103">
        <v>10</v>
      </c>
      <c r="AE82" s="103">
        <f t="shared" si="23"/>
        <v>1</v>
      </c>
      <c r="AF82">
        <f t="shared" si="25"/>
        <v>9</v>
      </c>
      <c r="AI82" s="103" t="s">
        <v>484</v>
      </c>
      <c r="AJ82" s="103" t="s">
        <v>387</v>
      </c>
      <c r="AK82" s="104" t="s">
        <v>1084</v>
      </c>
      <c r="AL82" s="103">
        <v>10</v>
      </c>
      <c r="AM82" s="103">
        <f t="shared" si="24"/>
        <v>1</v>
      </c>
      <c r="AN82">
        <f t="shared" si="26"/>
        <v>9</v>
      </c>
    </row>
    <row r="83" spans="27:40" x14ac:dyDescent="0.2">
      <c r="AA83" s="103" t="s">
        <v>485</v>
      </c>
      <c r="AB83" s="103" t="s">
        <v>387</v>
      </c>
      <c r="AC83" s="104" t="s">
        <v>1087</v>
      </c>
      <c r="AD83" s="103">
        <v>15</v>
      </c>
      <c r="AE83" s="103">
        <f t="shared" si="23"/>
        <v>2</v>
      </c>
      <c r="AF83">
        <f t="shared" si="25"/>
        <v>10</v>
      </c>
      <c r="AI83" s="103" t="s">
        <v>485</v>
      </c>
      <c r="AJ83" s="103" t="s">
        <v>387</v>
      </c>
      <c r="AK83" s="104" t="s">
        <v>1087</v>
      </c>
      <c r="AL83" s="103">
        <v>15</v>
      </c>
      <c r="AM83" s="103">
        <f t="shared" si="24"/>
        <v>2</v>
      </c>
      <c r="AN83">
        <f t="shared" si="26"/>
        <v>10</v>
      </c>
    </row>
    <row r="84" spans="27:40" x14ac:dyDescent="0.2">
      <c r="AA84" s="103" t="s">
        <v>486</v>
      </c>
      <c r="AB84" s="103" t="s">
        <v>387</v>
      </c>
      <c r="AC84" s="104" t="s">
        <v>420</v>
      </c>
      <c r="AD84" s="103">
        <v>20</v>
      </c>
      <c r="AE84" s="103">
        <f t="shared" si="23"/>
        <v>3</v>
      </c>
      <c r="AF84">
        <f t="shared" si="25"/>
        <v>11</v>
      </c>
      <c r="AI84" s="103" t="s">
        <v>486</v>
      </c>
      <c r="AJ84" s="103" t="s">
        <v>387</v>
      </c>
      <c r="AK84" s="104" t="s">
        <v>420</v>
      </c>
      <c r="AL84" s="103">
        <v>20</v>
      </c>
      <c r="AM84" s="103">
        <f t="shared" si="24"/>
        <v>3</v>
      </c>
      <c r="AN84">
        <f t="shared" si="26"/>
        <v>11</v>
      </c>
    </row>
    <row r="85" spans="27:40" x14ac:dyDescent="0.2">
      <c r="AA85" s="103" t="s">
        <v>487</v>
      </c>
      <c r="AB85" s="103" t="s">
        <v>387</v>
      </c>
      <c r="AC85" s="104" t="s">
        <v>1128</v>
      </c>
      <c r="AD85" s="103">
        <v>25</v>
      </c>
      <c r="AE85" s="103">
        <f t="shared" si="23"/>
        <v>4</v>
      </c>
      <c r="AF85">
        <f t="shared" si="25"/>
        <v>12</v>
      </c>
      <c r="AI85" s="103" t="s">
        <v>487</v>
      </c>
      <c r="AJ85" s="103" t="s">
        <v>387</v>
      </c>
      <c r="AK85" s="104" t="s">
        <v>1128</v>
      </c>
      <c r="AL85" s="103">
        <v>25</v>
      </c>
      <c r="AM85" s="103">
        <f t="shared" si="24"/>
        <v>4</v>
      </c>
      <c r="AN85">
        <f t="shared" si="26"/>
        <v>12</v>
      </c>
    </row>
    <row r="86" spans="27:40" x14ac:dyDescent="0.2">
      <c r="AA86" s="103" t="s">
        <v>488</v>
      </c>
      <c r="AB86" s="103" t="s">
        <v>387</v>
      </c>
      <c r="AC86" s="104" t="s">
        <v>1116</v>
      </c>
      <c r="AD86" s="103">
        <v>30</v>
      </c>
      <c r="AE86" s="103">
        <f t="shared" si="23"/>
        <v>5</v>
      </c>
      <c r="AF86">
        <f t="shared" si="25"/>
        <v>13</v>
      </c>
      <c r="AI86" s="103" t="s">
        <v>488</v>
      </c>
      <c r="AJ86" s="103" t="s">
        <v>387</v>
      </c>
      <c r="AK86" s="104" t="s">
        <v>1116</v>
      </c>
      <c r="AL86" s="103">
        <v>30</v>
      </c>
      <c r="AM86" s="103">
        <f t="shared" si="24"/>
        <v>5</v>
      </c>
      <c r="AN86">
        <f t="shared" si="26"/>
        <v>13</v>
      </c>
    </row>
    <row r="87" spans="27:40" x14ac:dyDescent="0.2">
      <c r="AA87" s="103" t="s">
        <v>489</v>
      </c>
      <c r="AB87" s="103" t="s">
        <v>387</v>
      </c>
      <c r="AC87" s="104" t="s">
        <v>1129</v>
      </c>
      <c r="AD87" s="103">
        <v>35</v>
      </c>
      <c r="AE87" s="103">
        <f t="shared" si="23"/>
        <v>6</v>
      </c>
      <c r="AF87">
        <f t="shared" si="25"/>
        <v>14</v>
      </c>
      <c r="AI87" s="103" t="s">
        <v>489</v>
      </c>
      <c r="AJ87" s="103" t="s">
        <v>387</v>
      </c>
      <c r="AK87" s="104" t="s">
        <v>1129</v>
      </c>
      <c r="AL87" s="103">
        <v>35</v>
      </c>
      <c r="AM87" s="103">
        <f t="shared" si="24"/>
        <v>6</v>
      </c>
      <c r="AN87">
        <f t="shared" si="26"/>
        <v>14</v>
      </c>
    </row>
    <row r="88" spans="27:40" x14ac:dyDescent="0.2">
      <c r="AA88" s="103" t="s">
        <v>490</v>
      </c>
      <c r="AB88" s="103" t="s">
        <v>387</v>
      </c>
      <c r="AC88" s="104" t="s">
        <v>1130</v>
      </c>
      <c r="AD88" s="103">
        <v>40</v>
      </c>
      <c r="AE88" s="103">
        <f t="shared" si="23"/>
        <v>7</v>
      </c>
      <c r="AF88">
        <f t="shared" si="25"/>
        <v>15</v>
      </c>
      <c r="AI88" s="103" t="s">
        <v>490</v>
      </c>
      <c r="AJ88" s="103" t="s">
        <v>387</v>
      </c>
      <c r="AK88" s="104" t="s">
        <v>1130</v>
      </c>
      <c r="AL88" s="103">
        <v>40</v>
      </c>
      <c r="AM88" s="103">
        <f t="shared" si="24"/>
        <v>7</v>
      </c>
      <c r="AN88">
        <f t="shared" si="26"/>
        <v>15</v>
      </c>
    </row>
    <row r="89" spans="27:40" x14ac:dyDescent="0.2">
      <c r="AA89" s="103" t="s">
        <v>491</v>
      </c>
      <c r="AB89" s="103" t="s">
        <v>387</v>
      </c>
      <c r="AC89" s="104" t="s">
        <v>1131</v>
      </c>
      <c r="AD89" s="103">
        <v>45</v>
      </c>
      <c r="AE89" s="103">
        <f t="shared" si="23"/>
        <v>8</v>
      </c>
      <c r="AF89">
        <f t="shared" si="25"/>
        <v>16</v>
      </c>
      <c r="AI89" s="103" t="s">
        <v>491</v>
      </c>
      <c r="AJ89" s="103" t="s">
        <v>387</v>
      </c>
      <c r="AK89" s="104" t="s">
        <v>1131</v>
      </c>
      <c r="AL89" s="103">
        <v>45</v>
      </c>
      <c r="AM89" s="103">
        <f t="shared" si="24"/>
        <v>8</v>
      </c>
      <c r="AN89">
        <f t="shared" si="26"/>
        <v>16</v>
      </c>
    </row>
    <row r="90" spans="27:40" x14ac:dyDescent="0.2">
      <c r="AA90" s="103" t="s">
        <v>492</v>
      </c>
      <c r="AB90" s="103" t="s">
        <v>387</v>
      </c>
      <c r="AC90" s="104" t="s">
        <v>1132</v>
      </c>
      <c r="AD90" s="103">
        <v>50</v>
      </c>
      <c r="AE90" s="103">
        <f t="shared" si="23"/>
        <v>9</v>
      </c>
      <c r="AF90">
        <f t="shared" si="25"/>
        <v>17</v>
      </c>
      <c r="AI90" s="103" t="s">
        <v>492</v>
      </c>
      <c r="AJ90" s="103" t="s">
        <v>387</v>
      </c>
      <c r="AK90" s="104" t="s">
        <v>1132</v>
      </c>
      <c r="AL90" s="103">
        <v>50</v>
      </c>
      <c r="AM90" s="103">
        <f t="shared" si="24"/>
        <v>9</v>
      </c>
      <c r="AN90">
        <f t="shared" si="26"/>
        <v>17</v>
      </c>
    </row>
    <row r="91" spans="27:40" x14ac:dyDescent="0.2">
      <c r="AA91" s="103" t="s">
        <v>493</v>
      </c>
      <c r="AB91" s="103" t="s">
        <v>387</v>
      </c>
      <c r="AC91" s="104" t="s">
        <v>1133</v>
      </c>
      <c r="AD91" s="103">
        <v>55</v>
      </c>
      <c r="AE91" s="103">
        <f t="shared" si="23"/>
        <v>10</v>
      </c>
      <c r="AF91">
        <f t="shared" si="25"/>
        <v>18</v>
      </c>
      <c r="AI91" s="103" t="s">
        <v>493</v>
      </c>
      <c r="AJ91" s="103" t="s">
        <v>387</v>
      </c>
      <c r="AK91" s="104" t="s">
        <v>1133</v>
      </c>
      <c r="AL91" s="103">
        <v>55</v>
      </c>
      <c r="AM91" s="103">
        <f t="shared" si="24"/>
        <v>10</v>
      </c>
      <c r="AN91">
        <f t="shared" si="26"/>
        <v>18</v>
      </c>
    </row>
    <row r="92" spans="27:40" x14ac:dyDescent="0.2">
      <c r="AA92" s="103" t="s">
        <v>494</v>
      </c>
      <c r="AB92" s="103" t="s">
        <v>387</v>
      </c>
      <c r="AC92" s="104" t="s">
        <v>1134</v>
      </c>
      <c r="AD92" s="103">
        <v>60</v>
      </c>
      <c r="AE92" s="103">
        <f t="shared" si="23"/>
        <v>11</v>
      </c>
      <c r="AF92">
        <f t="shared" si="25"/>
        <v>19</v>
      </c>
      <c r="AI92" s="103" t="s">
        <v>494</v>
      </c>
      <c r="AJ92" s="103" t="s">
        <v>387</v>
      </c>
      <c r="AK92" s="104" t="s">
        <v>1134</v>
      </c>
      <c r="AL92" s="103">
        <v>60</v>
      </c>
      <c r="AM92" s="103">
        <f t="shared" si="24"/>
        <v>11</v>
      </c>
      <c r="AN92">
        <f t="shared" si="26"/>
        <v>19</v>
      </c>
    </row>
    <row r="93" spans="27:40" x14ac:dyDescent="0.2">
      <c r="AA93" s="103" t="s">
        <v>495</v>
      </c>
      <c r="AB93" s="103" t="s">
        <v>387</v>
      </c>
      <c r="AC93" s="104"/>
      <c r="AD93" s="103">
        <v>65</v>
      </c>
      <c r="AE93" s="103">
        <f t="shared" si="23"/>
        <v>12</v>
      </c>
      <c r="AF93">
        <f t="shared" si="25"/>
        <v>20</v>
      </c>
      <c r="AI93" s="103" t="s">
        <v>495</v>
      </c>
      <c r="AJ93" s="103" t="s">
        <v>387</v>
      </c>
      <c r="AK93" s="104"/>
      <c r="AL93" s="103">
        <v>65</v>
      </c>
      <c r="AM93" s="103">
        <f t="shared" si="24"/>
        <v>12</v>
      </c>
      <c r="AN93">
        <f t="shared" si="26"/>
        <v>20</v>
      </c>
    </row>
    <row r="94" spans="27:40" x14ac:dyDescent="0.2">
      <c r="AA94" s="103" t="s">
        <v>496</v>
      </c>
      <c r="AB94" s="103" t="s">
        <v>387</v>
      </c>
      <c r="AC94" s="104"/>
      <c r="AD94" s="103">
        <v>70</v>
      </c>
      <c r="AE94" s="103">
        <f t="shared" si="23"/>
        <v>13</v>
      </c>
      <c r="AF94">
        <f t="shared" si="25"/>
        <v>21</v>
      </c>
      <c r="AI94" s="103" t="s">
        <v>496</v>
      </c>
      <c r="AJ94" s="103" t="s">
        <v>387</v>
      </c>
      <c r="AK94" s="104"/>
      <c r="AL94" s="103">
        <v>70</v>
      </c>
      <c r="AM94" s="103">
        <f t="shared" si="24"/>
        <v>13</v>
      </c>
      <c r="AN94">
        <f t="shared" si="26"/>
        <v>21</v>
      </c>
    </row>
    <row r="95" spans="27:40" x14ac:dyDescent="0.2">
      <c r="AA95" s="103" t="s">
        <v>497</v>
      </c>
      <c r="AB95" s="103" t="s">
        <v>387</v>
      </c>
      <c r="AC95" s="104"/>
      <c r="AD95" s="103">
        <v>75</v>
      </c>
      <c r="AE95" s="103">
        <f t="shared" si="23"/>
        <v>14</v>
      </c>
      <c r="AF95">
        <f t="shared" si="25"/>
        <v>22</v>
      </c>
      <c r="AI95" s="103" t="s">
        <v>497</v>
      </c>
      <c r="AJ95" s="103" t="s">
        <v>387</v>
      </c>
      <c r="AK95" s="104"/>
      <c r="AL95" s="103">
        <v>75</v>
      </c>
      <c r="AM95" s="103">
        <f t="shared" si="24"/>
        <v>14</v>
      </c>
      <c r="AN95">
        <f t="shared" si="26"/>
        <v>22</v>
      </c>
    </row>
    <row r="96" spans="27:40" x14ac:dyDescent="0.2">
      <c r="AA96" s="103" t="s">
        <v>498</v>
      </c>
      <c r="AB96" s="103" t="s">
        <v>387</v>
      </c>
      <c r="AC96" s="104"/>
      <c r="AD96" s="103">
        <v>80</v>
      </c>
      <c r="AE96" s="103">
        <f t="shared" si="23"/>
        <v>15</v>
      </c>
      <c r="AF96">
        <f t="shared" si="25"/>
        <v>23</v>
      </c>
      <c r="AI96" s="103" t="s">
        <v>498</v>
      </c>
      <c r="AJ96" s="103" t="s">
        <v>387</v>
      </c>
      <c r="AK96" s="104"/>
      <c r="AL96" s="103">
        <v>80</v>
      </c>
      <c r="AM96" s="103">
        <f t="shared" si="24"/>
        <v>15</v>
      </c>
      <c r="AN96">
        <f t="shared" si="26"/>
        <v>23</v>
      </c>
    </row>
    <row r="97" spans="27:40" x14ac:dyDescent="0.2">
      <c r="AA97" s="103" t="s">
        <v>499</v>
      </c>
      <c r="AB97" s="103" t="s">
        <v>387</v>
      </c>
      <c r="AC97" s="104"/>
      <c r="AD97" s="103">
        <v>85</v>
      </c>
      <c r="AE97" s="103">
        <f t="shared" si="23"/>
        <v>16</v>
      </c>
      <c r="AF97">
        <f t="shared" si="25"/>
        <v>24</v>
      </c>
      <c r="AI97" s="103" t="s">
        <v>499</v>
      </c>
      <c r="AJ97" s="103" t="s">
        <v>387</v>
      </c>
      <c r="AK97" s="104"/>
      <c r="AL97" s="103">
        <v>85</v>
      </c>
      <c r="AM97" s="103">
        <f t="shared" si="24"/>
        <v>16</v>
      </c>
      <c r="AN97">
        <f t="shared" si="26"/>
        <v>24</v>
      </c>
    </row>
  </sheetData>
  <sortState ref="AA2:AF97">
    <sortCondition ref="AB2:AB97"/>
    <sortCondition ref="AD2:AD97"/>
  </sortState>
  <pageMargins left="0.7" right="0.7" top="0.75" bottom="0.75" header="0.3" footer="0.3"/>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Y74"/>
  <sheetViews>
    <sheetView topLeftCell="A25" workbookViewId="0">
      <selection activeCell="T41" sqref="T41"/>
    </sheetView>
  </sheetViews>
  <sheetFormatPr baseColWidth="10" defaultColWidth="8.83203125" defaultRowHeight="12" x14ac:dyDescent="0.2"/>
  <cols>
    <col min="1" max="1" width="8.83203125" style="8"/>
    <col min="2" max="2" width="11.33203125" style="8" customWidth="1"/>
    <col min="3" max="3" width="11.1640625" style="8" customWidth="1"/>
    <col min="4" max="16384" width="8.83203125" style="8"/>
  </cols>
  <sheetData>
    <row r="1" spans="1:15" x14ac:dyDescent="0.2">
      <c r="A1" s="8" t="s">
        <v>161</v>
      </c>
      <c r="B1" s="8" t="s">
        <v>162</v>
      </c>
      <c r="C1" s="8" t="s">
        <v>163</v>
      </c>
      <c r="O1" s="8" t="s">
        <v>238</v>
      </c>
    </row>
    <row r="2" spans="1:15" x14ac:dyDescent="0.2">
      <c r="A2" s="8" t="s">
        <v>138</v>
      </c>
      <c r="B2" s="8" t="s">
        <v>165</v>
      </c>
      <c r="C2" s="8" t="s">
        <v>164</v>
      </c>
      <c r="E2" s="8" t="s">
        <v>219</v>
      </c>
    </row>
    <row r="3" spans="1:15" x14ac:dyDescent="0.2">
      <c r="C3" s="8" t="s">
        <v>140</v>
      </c>
      <c r="E3" s="8" t="s">
        <v>196</v>
      </c>
    </row>
    <row r="4" spans="1:15" x14ac:dyDescent="0.2">
      <c r="C4" s="8" t="s">
        <v>214</v>
      </c>
      <c r="E4" s="8" t="s">
        <v>220</v>
      </c>
    </row>
    <row r="5" spans="1:15" x14ac:dyDescent="0.2">
      <c r="C5" s="8" t="s">
        <v>192</v>
      </c>
      <c r="E5" s="8" t="s">
        <v>221</v>
      </c>
    </row>
    <row r="6" spans="1:15" x14ac:dyDescent="0.2">
      <c r="B6" s="8" t="s">
        <v>166</v>
      </c>
      <c r="C6" s="8" t="s">
        <v>188</v>
      </c>
      <c r="E6" s="8" t="s">
        <v>226</v>
      </c>
    </row>
    <row r="7" spans="1:15" x14ac:dyDescent="0.2">
      <c r="C7" s="8" t="s">
        <v>189</v>
      </c>
      <c r="E7" s="8" t="s">
        <v>199</v>
      </c>
    </row>
    <row r="8" spans="1:15" x14ac:dyDescent="0.2">
      <c r="C8" s="8" t="s">
        <v>200</v>
      </c>
      <c r="E8" s="8" t="s">
        <v>225</v>
      </c>
    </row>
    <row r="9" spans="1:15" x14ac:dyDescent="0.2">
      <c r="C9" s="8" t="s">
        <v>211</v>
      </c>
      <c r="E9" s="8" t="s">
        <v>252</v>
      </c>
    </row>
    <row r="10" spans="1:15" x14ac:dyDescent="0.2">
      <c r="B10" s="8" t="s">
        <v>141</v>
      </c>
      <c r="C10" s="8" t="s">
        <v>179</v>
      </c>
      <c r="E10" s="8" t="s">
        <v>222</v>
      </c>
    </row>
    <row r="11" spans="1:15" x14ac:dyDescent="0.2">
      <c r="C11" s="8" t="s">
        <v>180</v>
      </c>
      <c r="E11" s="8" t="s">
        <v>243</v>
      </c>
    </row>
    <row r="12" spans="1:15" x14ac:dyDescent="0.2">
      <c r="C12" s="8" t="s">
        <v>181</v>
      </c>
      <c r="E12" s="8" t="s">
        <v>242</v>
      </c>
    </row>
    <row r="13" spans="1:15" x14ac:dyDescent="0.2">
      <c r="C13" s="8" t="s">
        <v>190</v>
      </c>
      <c r="E13" s="8" t="s">
        <v>244</v>
      </c>
    </row>
    <row r="14" spans="1:15" x14ac:dyDescent="0.2">
      <c r="C14" s="8" t="s">
        <v>251</v>
      </c>
      <c r="E14" s="8" t="s">
        <v>245</v>
      </c>
    </row>
    <row r="15" spans="1:15" x14ac:dyDescent="0.2">
      <c r="C15" s="8" t="s">
        <v>191</v>
      </c>
    </row>
    <row r="16" spans="1:15" x14ac:dyDescent="0.2">
      <c r="C16" s="8" t="s">
        <v>193</v>
      </c>
    </row>
    <row r="17" spans="2:15" x14ac:dyDescent="0.2">
      <c r="C17" s="8" t="s">
        <v>247</v>
      </c>
      <c r="E17" s="8" t="s">
        <v>241</v>
      </c>
    </row>
    <row r="18" spans="2:15" x14ac:dyDescent="0.2">
      <c r="C18" s="8" t="s">
        <v>248</v>
      </c>
      <c r="E18" s="8" t="s">
        <v>249</v>
      </c>
    </row>
    <row r="19" spans="2:15" x14ac:dyDescent="0.2">
      <c r="C19" s="8" t="s">
        <v>240</v>
      </c>
      <c r="E19" s="8" t="s">
        <v>250</v>
      </c>
    </row>
    <row r="20" spans="2:15" x14ac:dyDescent="0.2">
      <c r="B20" s="8" t="s">
        <v>139</v>
      </c>
      <c r="C20" s="8" t="s">
        <v>212</v>
      </c>
      <c r="E20" s="8" t="s">
        <v>227</v>
      </c>
    </row>
    <row r="21" spans="2:15" x14ac:dyDescent="0.2">
      <c r="C21" s="8" t="s">
        <v>213</v>
      </c>
      <c r="E21" s="8" t="s">
        <v>228</v>
      </c>
    </row>
    <row r="22" spans="2:15" x14ac:dyDescent="0.2">
      <c r="C22" s="8" t="s">
        <v>230</v>
      </c>
      <c r="E22" s="8" t="s">
        <v>229</v>
      </c>
    </row>
    <row r="23" spans="2:15" x14ac:dyDescent="0.2">
      <c r="B23" s="8" t="s">
        <v>198</v>
      </c>
      <c r="C23" s="8" t="s">
        <v>197</v>
      </c>
      <c r="E23" s="8" t="s">
        <v>246</v>
      </c>
    </row>
    <row r="24" spans="2:15" x14ac:dyDescent="0.2">
      <c r="C24" s="8" t="s">
        <v>167</v>
      </c>
      <c r="E24" s="8" t="s">
        <v>216</v>
      </c>
    </row>
    <row r="25" spans="2:15" x14ac:dyDescent="0.2">
      <c r="C25" s="8" t="s">
        <v>194</v>
      </c>
      <c r="E25" s="8" t="s">
        <v>217</v>
      </c>
    </row>
    <row r="26" spans="2:15" x14ac:dyDescent="0.2">
      <c r="C26" s="8" t="s">
        <v>195</v>
      </c>
      <c r="E26" s="8" t="s">
        <v>218</v>
      </c>
    </row>
    <row r="27" spans="2:15" x14ac:dyDescent="0.2">
      <c r="B27" s="9" t="s">
        <v>231</v>
      </c>
      <c r="C27" s="9"/>
      <c r="D27" s="9"/>
      <c r="E27" s="9" t="s">
        <v>233</v>
      </c>
      <c r="F27" s="9"/>
      <c r="G27" s="9"/>
      <c r="H27" s="9"/>
      <c r="I27" s="9"/>
      <c r="J27" s="9"/>
      <c r="K27" s="9"/>
      <c r="L27" s="9"/>
    </row>
    <row r="28" spans="2:15" x14ac:dyDescent="0.2">
      <c r="B28" s="9" t="s">
        <v>168</v>
      </c>
      <c r="D28" s="9"/>
      <c r="E28" s="9" t="s">
        <v>232</v>
      </c>
      <c r="F28" s="9"/>
      <c r="G28" s="9"/>
      <c r="H28" s="9"/>
      <c r="I28" s="9"/>
      <c r="J28" s="9"/>
      <c r="K28" s="9"/>
      <c r="L28" s="9"/>
    </row>
    <row r="29" spans="2:15" s="9" customFormat="1" x14ac:dyDescent="0.2">
      <c r="C29" s="9" t="s">
        <v>185</v>
      </c>
      <c r="E29" s="9" t="s">
        <v>234</v>
      </c>
    </row>
    <row r="30" spans="2:15" x14ac:dyDescent="0.2">
      <c r="B30" s="9"/>
      <c r="C30" s="9" t="s">
        <v>186</v>
      </c>
      <c r="D30" s="9"/>
      <c r="E30" s="9" t="s">
        <v>235</v>
      </c>
      <c r="F30" s="9"/>
      <c r="G30" s="9"/>
      <c r="H30" s="9"/>
      <c r="I30" s="9"/>
      <c r="J30" s="9"/>
      <c r="K30" s="9"/>
      <c r="L30" s="9"/>
    </row>
    <row r="31" spans="2:15" x14ac:dyDescent="0.2">
      <c r="B31" s="9"/>
      <c r="C31" s="9" t="s">
        <v>187</v>
      </c>
      <c r="D31" s="9"/>
      <c r="E31" s="9" t="s">
        <v>236</v>
      </c>
      <c r="F31" s="9"/>
      <c r="G31" s="9"/>
      <c r="H31" s="9"/>
      <c r="I31" s="9"/>
      <c r="J31" s="9"/>
      <c r="K31" s="9"/>
      <c r="L31" s="9"/>
    </row>
    <row r="32" spans="2:15" x14ac:dyDescent="0.2">
      <c r="B32" s="9" t="s">
        <v>215</v>
      </c>
      <c r="C32" s="9"/>
      <c r="E32" s="9" t="s">
        <v>237</v>
      </c>
      <c r="F32" s="9"/>
      <c r="G32" s="9"/>
      <c r="H32" s="9"/>
      <c r="I32" s="9"/>
      <c r="J32" s="9"/>
      <c r="K32" s="9"/>
      <c r="L32" s="9"/>
      <c r="O32" s="8" t="s">
        <v>239</v>
      </c>
    </row>
    <row r="33" spans="1:12" x14ac:dyDescent="0.2">
      <c r="B33" s="9" t="s">
        <v>223</v>
      </c>
      <c r="C33" s="9"/>
      <c r="D33" s="9"/>
      <c r="E33" s="9" t="s">
        <v>224</v>
      </c>
      <c r="F33" s="9"/>
      <c r="G33" s="9"/>
      <c r="H33" s="9"/>
      <c r="I33" s="9"/>
      <c r="J33" s="9"/>
      <c r="K33" s="9"/>
      <c r="L33" s="9"/>
    </row>
    <row r="34" spans="1:12" x14ac:dyDescent="0.2">
      <c r="A34" s="8" t="s">
        <v>145</v>
      </c>
      <c r="B34" s="8" t="s">
        <v>79</v>
      </c>
      <c r="C34" s="8" t="s">
        <v>1138</v>
      </c>
    </row>
    <row r="35" spans="1:12" x14ac:dyDescent="0.2">
      <c r="C35" s="8" t="s">
        <v>1139</v>
      </c>
    </row>
    <row r="36" spans="1:12" x14ac:dyDescent="0.2">
      <c r="C36" s="8" t="s">
        <v>1140</v>
      </c>
    </row>
    <row r="37" spans="1:12" x14ac:dyDescent="0.2">
      <c r="C37" s="8" t="s">
        <v>1141</v>
      </c>
    </row>
    <row r="38" spans="1:12" x14ac:dyDescent="0.2">
      <c r="C38" s="8" t="s">
        <v>1142</v>
      </c>
    </row>
    <row r="39" spans="1:12" x14ac:dyDescent="0.2">
      <c r="C39" s="8" t="s">
        <v>1143</v>
      </c>
    </row>
    <row r="40" spans="1:12" x14ac:dyDescent="0.2">
      <c r="B40" s="8" t="s">
        <v>142</v>
      </c>
      <c r="C40" s="8" t="s">
        <v>175</v>
      </c>
    </row>
    <row r="41" spans="1:12" x14ac:dyDescent="0.2">
      <c r="C41" s="8" t="s">
        <v>176</v>
      </c>
    </row>
    <row r="42" spans="1:12" x14ac:dyDescent="0.2">
      <c r="B42" s="8" t="s">
        <v>143</v>
      </c>
      <c r="C42" s="8" t="s">
        <v>148</v>
      </c>
    </row>
    <row r="43" spans="1:12" x14ac:dyDescent="0.2">
      <c r="C43" s="8" t="s">
        <v>149</v>
      </c>
    </row>
    <row r="44" spans="1:12" x14ac:dyDescent="0.2">
      <c r="C44" s="8" t="s">
        <v>150</v>
      </c>
    </row>
    <row r="45" spans="1:12" x14ac:dyDescent="0.2">
      <c r="C45" s="8" t="s">
        <v>151</v>
      </c>
    </row>
    <row r="46" spans="1:12" x14ac:dyDescent="0.2">
      <c r="C46" s="8" t="s">
        <v>154</v>
      </c>
    </row>
    <row r="47" spans="1:12" x14ac:dyDescent="0.2">
      <c r="B47" s="8" t="s">
        <v>144</v>
      </c>
      <c r="C47" s="8" t="s">
        <v>177</v>
      </c>
    </row>
    <row r="48" spans="1:12" x14ac:dyDescent="0.2">
      <c r="C48" s="8" t="s">
        <v>178</v>
      </c>
    </row>
    <row r="49" spans="2:25" x14ac:dyDescent="0.2">
      <c r="C49" s="8" t="s">
        <v>205</v>
      </c>
    </row>
    <row r="50" spans="2:25" x14ac:dyDescent="0.2">
      <c r="C50" s="8" t="s">
        <v>206</v>
      </c>
    </row>
    <row r="51" spans="2:25" x14ac:dyDescent="0.2">
      <c r="B51" s="8" t="s">
        <v>5</v>
      </c>
      <c r="C51" s="8" t="s">
        <v>155</v>
      </c>
      <c r="S51" s="8" t="s">
        <v>5</v>
      </c>
      <c r="T51" s="8" t="s">
        <v>75</v>
      </c>
      <c r="U51" s="8" t="s">
        <v>1144</v>
      </c>
      <c r="V51" s="8" t="s">
        <v>157</v>
      </c>
      <c r="W51" s="8" t="s">
        <v>155</v>
      </c>
      <c r="X51" s="8" t="s">
        <v>156</v>
      </c>
      <c r="Y51" s="8" t="s">
        <v>812</v>
      </c>
    </row>
    <row r="52" spans="2:25" x14ac:dyDescent="0.2">
      <c r="C52" s="8" t="s">
        <v>518</v>
      </c>
      <c r="T52" s="8" t="s">
        <v>85</v>
      </c>
    </row>
    <row r="53" spans="2:25" x14ac:dyDescent="0.2">
      <c r="C53" s="8" t="s">
        <v>780</v>
      </c>
      <c r="T53" s="8" t="s">
        <v>201</v>
      </c>
    </row>
    <row r="54" spans="2:25" x14ac:dyDescent="0.2">
      <c r="C54" s="8" t="s">
        <v>779</v>
      </c>
      <c r="T54" s="8" t="s">
        <v>132</v>
      </c>
    </row>
    <row r="55" spans="2:25" x14ac:dyDescent="0.2">
      <c r="C55" s="8" t="s">
        <v>544</v>
      </c>
    </row>
    <row r="56" spans="2:25" x14ac:dyDescent="0.2">
      <c r="C56" s="8" t="s">
        <v>158</v>
      </c>
    </row>
    <row r="57" spans="2:25" x14ac:dyDescent="0.2">
      <c r="C57" s="8" t="s">
        <v>596</v>
      </c>
    </row>
    <row r="58" spans="2:25" x14ac:dyDescent="0.2">
      <c r="C58" s="8" t="s">
        <v>159</v>
      </c>
    </row>
    <row r="59" spans="2:25" x14ac:dyDescent="0.2">
      <c r="C59" s="8" t="s">
        <v>160</v>
      </c>
    </row>
    <row r="60" spans="2:25" x14ac:dyDescent="0.2">
      <c r="C60" s="8" t="s">
        <v>628</v>
      </c>
    </row>
    <row r="61" spans="2:25" x14ac:dyDescent="0.2">
      <c r="C61" s="8" t="s">
        <v>201</v>
      </c>
    </row>
    <row r="62" spans="2:25" x14ac:dyDescent="0.2">
      <c r="B62" s="8" t="s">
        <v>169</v>
      </c>
      <c r="C62" s="8" t="s">
        <v>171</v>
      </c>
    </row>
    <row r="63" spans="2:25" x14ac:dyDescent="0.2">
      <c r="C63" s="8" t="s">
        <v>173</v>
      </c>
    </row>
    <row r="64" spans="2:25" x14ac:dyDescent="0.2">
      <c r="C64" s="8" t="s">
        <v>172</v>
      </c>
    </row>
    <row r="65" spans="1:5" x14ac:dyDescent="0.2">
      <c r="C65" s="8" t="s">
        <v>153</v>
      </c>
    </row>
    <row r="66" spans="1:5" x14ac:dyDescent="0.2">
      <c r="C66" s="8" t="s">
        <v>152</v>
      </c>
    </row>
    <row r="67" spans="1:5" x14ac:dyDescent="0.2">
      <c r="C67" s="8" t="s">
        <v>174</v>
      </c>
    </row>
    <row r="68" spans="1:5" x14ac:dyDescent="0.2">
      <c r="C68" s="8" t="s">
        <v>259</v>
      </c>
    </row>
    <row r="69" spans="1:5" x14ac:dyDescent="0.2">
      <c r="B69" s="8" t="s">
        <v>778</v>
      </c>
      <c r="C69" s="8" t="s">
        <v>182</v>
      </c>
    </row>
    <row r="70" spans="1:5" x14ac:dyDescent="0.2">
      <c r="C70" s="8" t="s">
        <v>183</v>
      </c>
    </row>
    <row r="71" spans="1:5" x14ac:dyDescent="0.2">
      <c r="C71" s="8" t="s">
        <v>184</v>
      </c>
    </row>
    <row r="72" spans="1:5" x14ac:dyDescent="0.2">
      <c r="A72" s="8" t="s">
        <v>146</v>
      </c>
      <c r="B72" s="8" t="s">
        <v>170</v>
      </c>
      <c r="E72" s="8" t="s">
        <v>208</v>
      </c>
    </row>
    <row r="73" spans="1:5" x14ac:dyDescent="0.2">
      <c r="B73" s="8" t="s">
        <v>147</v>
      </c>
      <c r="E73" s="8" t="s">
        <v>209</v>
      </c>
    </row>
    <row r="74" spans="1:5" x14ac:dyDescent="0.2">
      <c r="B74" s="8" t="s">
        <v>207</v>
      </c>
      <c r="E74" s="8" t="s">
        <v>210</v>
      </c>
    </row>
  </sheetData>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2:O18"/>
  <sheetViews>
    <sheetView workbookViewId="0">
      <selection activeCell="L7" sqref="L7"/>
    </sheetView>
  </sheetViews>
  <sheetFormatPr baseColWidth="10" defaultColWidth="8.83203125" defaultRowHeight="15" x14ac:dyDescent="0.2"/>
  <sheetData>
    <row r="2" spans="1:15" x14ac:dyDescent="0.2">
      <c r="A2">
        <v>0</v>
      </c>
      <c r="B2">
        <v>2</v>
      </c>
      <c r="E2">
        <f>$B$3*A2*A2*A2</f>
        <v>0</v>
      </c>
    </row>
    <row r="3" spans="1:15" x14ac:dyDescent="0.2">
      <c r="A3">
        <v>1</v>
      </c>
      <c r="B3">
        <v>16</v>
      </c>
      <c r="E3">
        <f>$B$3*A3*A3*A3</f>
        <v>16</v>
      </c>
      <c r="I3">
        <f t="shared" ref="I3:I18" si="0">E3/$E$3</f>
        <v>1</v>
      </c>
      <c r="J3">
        <f>POWER(A4/$A$3,3)</f>
        <v>8</v>
      </c>
      <c r="L3">
        <f>POWER(A4/A3,3)</f>
        <v>8</v>
      </c>
    </row>
    <row r="4" spans="1:15" x14ac:dyDescent="0.2">
      <c r="A4">
        <v>2</v>
      </c>
      <c r="B4">
        <v>128</v>
      </c>
      <c r="C4">
        <f>A4/A3</f>
        <v>2</v>
      </c>
      <c r="D4">
        <f>C4*C4*C4</f>
        <v>8</v>
      </c>
      <c r="E4">
        <f t="shared" ref="E4:E18" si="1">$B$3*A4*A4*A4</f>
        <v>128</v>
      </c>
      <c r="I4">
        <f t="shared" si="0"/>
        <v>8</v>
      </c>
      <c r="J4">
        <f t="shared" ref="J4:J18" si="2">POWER(A5/$A$3,3)</f>
        <v>27</v>
      </c>
      <c r="K4">
        <f>POWER(A5/A$4,3)</f>
        <v>3.375</v>
      </c>
      <c r="L4">
        <f t="shared" ref="L4:L18" si="3">POWER(A5/A4,3)</f>
        <v>3.375</v>
      </c>
      <c r="N4">
        <f>(2*2*2)/(3*3*3)</f>
        <v>0.29629629629629628</v>
      </c>
      <c r="O4" s="100"/>
    </row>
    <row r="5" spans="1:15" x14ac:dyDescent="0.2">
      <c r="A5">
        <v>3</v>
      </c>
      <c r="B5">
        <f>B4*D5</f>
        <v>432</v>
      </c>
      <c r="C5">
        <f>A5/A4</f>
        <v>1.5</v>
      </c>
      <c r="D5">
        <f>C5*C5*C5</f>
        <v>3.375</v>
      </c>
      <c r="E5">
        <f t="shared" si="1"/>
        <v>432</v>
      </c>
      <c r="I5">
        <f t="shared" si="0"/>
        <v>27</v>
      </c>
      <c r="J5">
        <f t="shared" si="2"/>
        <v>64</v>
      </c>
      <c r="K5">
        <f t="shared" ref="K5:K18" si="4">POWER(A6/A$4,3)</f>
        <v>8</v>
      </c>
      <c r="L5">
        <f t="shared" si="3"/>
        <v>2.3703703703703702</v>
      </c>
      <c r="N5">
        <f>((2/3)*(2/3)*(2/3))</f>
        <v>0.29629629629629628</v>
      </c>
    </row>
    <row r="6" spans="1:15" x14ac:dyDescent="0.2">
      <c r="A6">
        <v>4</v>
      </c>
      <c r="B6">
        <f t="shared" ref="B6:B18" si="5">B5*D6</f>
        <v>1024</v>
      </c>
      <c r="C6">
        <f t="shared" ref="C6:C18" si="6">A6/A5</f>
        <v>1.3333333333333333</v>
      </c>
      <c r="D6">
        <f t="shared" ref="D6:D18" si="7">C6*C6*C6</f>
        <v>2.3703703703703702</v>
      </c>
      <c r="E6">
        <f t="shared" si="1"/>
        <v>1024</v>
      </c>
      <c r="I6">
        <f t="shared" si="0"/>
        <v>64</v>
      </c>
      <c r="J6">
        <f t="shared" si="2"/>
        <v>125</v>
      </c>
      <c r="K6">
        <f t="shared" si="4"/>
        <v>15.625</v>
      </c>
      <c r="L6">
        <f t="shared" si="3"/>
        <v>1.953125</v>
      </c>
    </row>
    <row r="7" spans="1:15" x14ac:dyDescent="0.2">
      <c r="A7">
        <v>5</v>
      </c>
      <c r="B7">
        <f t="shared" si="5"/>
        <v>2000</v>
      </c>
      <c r="C7">
        <f t="shared" si="6"/>
        <v>1.25</v>
      </c>
      <c r="D7">
        <f t="shared" si="7"/>
        <v>1.953125</v>
      </c>
      <c r="E7">
        <f t="shared" si="1"/>
        <v>2000</v>
      </c>
      <c r="I7">
        <f t="shared" si="0"/>
        <v>125</v>
      </c>
      <c r="J7">
        <f t="shared" si="2"/>
        <v>216</v>
      </c>
      <c r="K7">
        <f t="shared" si="4"/>
        <v>27</v>
      </c>
      <c r="L7">
        <f t="shared" si="3"/>
        <v>1.728</v>
      </c>
    </row>
    <row r="8" spans="1:15" x14ac:dyDescent="0.2">
      <c r="A8">
        <v>6</v>
      </c>
      <c r="B8">
        <f t="shared" si="5"/>
        <v>3456</v>
      </c>
      <c r="C8">
        <f t="shared" si="6"/>
        <v>1.2</v>
      </c>
      <c r="D8">
        <f t="shared" si="7"/>
        <v>1.728</v>
      </c>
      <c r="E8">
        <f t="shared" si="1"/>
        <v>3456</v>
      </c>
      <c r="I8">
        <f t="shared" si="0"/>
        <v>216</v>
      </c>
      <c r="J8">
        <f t="shared" si="2"/>
        <v>343</v>
      </c>
      <c r="K8">
        <f t="shared" si="4"/>
        <v>42.875</v>
      </c>
      <c r="L8">
        <f t="shared" si="3"/>
        <v>1.5879629629629635</v>
      </c>
    </row>
    <row r="9" spans="1:15" x14ac:dyDescent="0.2">
      <c r="A9">
        <v>7</v>
      </c>
      <c r="B9">
        <f t="shared" si="5"/>
        <v>5488.0000000000018</v>
      </c>
      <c r="C9">
        <f t="shared" si="6"/>
        <v>1.1666666666666667</v>
      </c>
      <c r="D9">
        <f t="shared" si="7"/>
        <v>1.5879629629629635</v>
      </c>
      <c r="E9">
        <f t="shared" si="1"/>
        <v>5488</v>
      </c>
      <c r="I9">
        <f t="shared" si="0"/>
        <v>343</v>
      </c>
      <c r="J9">
        <f t="shared" si="2"/>
        <v>512</v>
      </c>
      <c r="K9">
        <f t="shared" si="4"/>
        <v>64</v>
      </c>
      <c r="L9">
        <f t="shared" si="3"/>
        <v>1.4927113702623904</v>
      </c>
    </row>
    <row r="10" spans="1:15" x14ac:dyDescent="0.2">
      <c r="A10">
        <v>8</v>
      </c>
      <c r="B10">
        <f t="shared" si="5"/>
        <v>8192.0000000000018</v>
      </c>
      <c r="C10">
        <f t="shared" si="6"/>
        <v>1.1428571428571428</v>
      </c>
      <c r="D10">
        <f t="shared" si="7"/>
        <v>1.4927113702623904</v>
      </c>
      <c r="E10">
        <f t="shared" si="1"/>
        <v>8192</v>
      </c>
      <c r="I10">
        <f t="shared" si="0"/>
        <v>512</v>
      </c>
      <c r="J10">
        <f t="shared" si="2"/>
        <v>729</v>
      </c>
      <c r="K10">
        <f t="shared" si="4"/>
        <v>91.125</v>
      </c>
      <c r="L10">
        <f t="shared" si="3"/>
        <v>1.423828125</v>
      </c>
    </row>
    <row r="11" spans="1:15" x14ac:dyDescent="0.2">
      <c r="A11">
        <v>9</v>
      </c>
      <c r="B11">
        <f t="shared" si="5"/>
        <v>11664.000000000002</v>
      </c>
      <c r="C11">
        <f t="shared" si="6"/>
        <v>1.125</v>
      </c>
      <c r="D11">
        <f t="shared" si="7"/>
        <v>1.423828125</v>
      </c>
      <c r="E11">
        <f t="shared" si="1"/>
        <v>11664</v>
      </c>
      <c r="I11">
        <f t="shared" si="0"/>
        <v>729</v>
      </c>
      <c r="J11">
        <f t="shared" si="2"/>
        <v>1000</v>
      </c>
      <c r="K11">
        <f t="shared" si="4"/>
        <v>125</v>
      </c>
      <c r="L11">
        <f t="shared" si="3"/>
        <v>1.3717421124828535</v>
      </c>
    </row>
    <row r="12" spans="1:15" x14ac:dyDescent="0.2">
      <c r="A12">
        <v>10</v>
      </c>
      <c r="B12">
        <f t="shared" si="5"/>
        <v>16000.000000000005</v>
      </c>
      <c r="C12">
        <f t="shared" si="6"/>
        <v>1.1111111111111112</v>
      </c>
      <c r="D12">
        <f t="shared" si="7"/>
        <v>1.3717421124828535</v>
      </c>
      <c r="E12">
        <f t="shared" si="1"/>
        <v>16000</v>
      </c>
      <c r="I12">
        <f t="shared" si="0"/>
        <v>1000</v>
      </c>
      <c r="J12">
        <f t="shared" si="2"/>
        <v>1331</v>
      </c>
      <c r="K12">
        <f t="shared" si="4"/>
        <v>166.375</v>
      </c>
      <c r="L12">
        <f t="shared" si="3"/>
        <v>1.3310000000000004</v>
      </c>
    </row>
    <row r="13" spans="1:15" x14ac:dyDescent="0.2">
      <c r="A13">
        <v>11</v>
      </c>
      <c r="B13">
        <f t="shared" si="5"/>
        <v>21296.000000000015</v>
      </c>
      <c r="C13">
        <f t="shared" si="6"/>
        <v>1.1000000000000001</v>
      </c>
      <c r="D13">
        <f t="shared" si="7"/>
        <v>1.3310000000000004</v>
      </c>
      <c r="E13">
        <f t="shared" si="1"/>
        <v>21296</v>
      </c>
      <c r="I13">
        <f t="shared" si="0"/>
        <v>1331</v>
      </c>
      <c r="J13">
        <f t="shared" si="2"/>
        <v>1728</v>
      </c>
      <c r="K13">
        <f t="shared" si="4"/>
        <v>216</v>
      </c>
      <c r="L13">
        <f t="shared" si="3"/>
        <v>1.298271975957926</v>
      </c>
    </row>
    <row r="14" spans="1:15" x14ac:dyDescent="0.2">
      <c r="A14">
        <v>12</v>
      </c>
      <c r="B14">
        <f t="shared" si="5"/>
        <v>27648.000000000011</v>
      </c>
      <c r="C14">
        <f t="shared" si="6"/>
        <v>1.0909090909090908</v>
      </c>
      <c r="D14">
        <f t="shared" si="7"/>
        <v>1.298271975957926</v>
      </c>
      <c r="E14">
        <f t="shared" si="1"/>
        <v>27648</v>
      </c>
      <c r="I14">
        <f t="shared" si="0"/>
        <v>1728</v>
      </c>
      <c r="J14">
        <f t="shared" si="2"/>
        <v>2197</v>
      </c>
      <c r="K14">
        <f t="shared" si="4"/>
        <v>274.625</v>
      </c>
      <c r="L14">
        <f t="shared" si="3"/>
        <v>1.2714120370370368</v>
      </c>
    </row>
    <row r="15" spans="1:15" x14ac:dyDescent="0.2">
      <c r="A15">
        <v>13</v>
      </c>
      <c r="B15">
        <f t="shared" si="5"/>
        <v>35152.000000000007</v>
      </c>
      <c r="C15">
        <f t="shared" si="6"/>
        <v>1.0833333333333333</v>
      </c>
      <c r="D15">
        <f t="shared" si="7"/>
        <v>1.2714120370370368</v>
      </c>
      <c r="E15">
        <f t="shared" si="1"/>
        <v>35152</v>
      </c>
      <c r="I15">
        <f t="shared" si="0"/>
        <v>2197</v>
      </c>
      <c r="J15">
        <f t="shared" si="2"/>
        <v>2744</v>
      </c>
      <c r="K15">
        <f t="shared" si="4"/>
        <v>343</v>
      </c>
      <c r="L15">
        <f t="shared" si="3"/>
        <v>1.2489758761948109</v>
      </c>
    </row>
    <row r="16" spans="1:15" x14ac:dyDescent="0.2">
      <c r="A16">
        <v>14</v>
      </c>
      <c r="B16">
        <f t="shared" si="5"/>
        <v>43904</v>
      </c>
      <c r="C16">
        <f t="shared" si="6"/>
        <v>1.0769230769230769</v>
      </c>
      <c r="D16">
        <f t="shared" si="7"/>
        <v>1.2489758761948109</v>
      </c>
      <c r="E16">
        <f t="shared" si="1"/>
        <v>43904</v>
      </c>
      <c r="I16">
        <f t="shared" si="0"/>
        <v>2744</v>
      </c>
      <c r="J16">
        <f t="shared" si="2"/>
        <v>3375</v>
      </c>
      <c r="K16">
        <f t="shared" si="4"/>
        <v>421.875</v>
      </c>
      <c r="L16">
        <f t="shared" si="3"/>
        <v>1.2299562682215741</v>
      </c>
    </row>
    <row r="17" spans="1:12" x14ac:dyDescent="0.2">
      <c r="A17">
        <v>15</v>
      </c>
      <c r="B17">
        <f t="shared" si="5"/>
        <v>53999.999999999993</v>
      </c>
      <c r="C17">
        <f t="shared" si="6"/>
        <v>1.0714285714285714</v>
      </c>
      <c r="D17">
        <f t="shared" si="7"/>
        <v>1.2299562682215741</v>
      </c>
      <c r="E17">
        <f t="shared" si="1"/>
        <v>54000</v>
      </c>
      <c r="I17">
        <f t="shared" si="0"/>
        <v>3375</v>
      </c>
      <c r="J17">
        <f t="shared" si="2"/>
        <v>4096</v>
      </c>
      <c r="K17">
        <f t="shared" si="4"/>
        <v>512</v>
      </c>
      <c r="L17">
        <f t="shared" si="3"/>
        <v>1.2136296296296296</v>
      </c>
    </row>
    <row r="18" spans="1:12" x14ac:dyDescent="0.2">
      <c r="A18">
        <v>16</v>
      </c>
      <c r="B18">
        <f t="shared" si="5"/>
        <v>65535.999999999993</v>
      </c>
      <c r="C18">
        <f t="shared" si="6"/>
        <v>1.0666666666666667</v>
      </c>
      <c r="D18">
        <f t="shared" si="7"/>
        <v>1.2136296296296296</v>
      </c>
      <c r="E18">
        <f t="shared" si="1"/>
        <v>65536</v>
      </c>
      <c r="G18" t="s">
        <v>253</v>
      </c>
      <c r="I18">
        <f t="shared" si="0"/>
        <v>4096</v>
      </c>
      <c r="J18">
        <f t="shared" si="2"/>
        <v>0</v>
      </c>
      <c r="K18">
        <f t="shared" si="4"/>
        <v>0</v>
      </c>
      <c r="L18">
        <f t="shared" si="3"/>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F57"/>
  <sheetViews>
    <sheetView topLeftCell="A10" zoomScale="90" zoomScaleNormal="90" zoomScalePageLayoutView="90" workbookViewId="0">
      <selection activeCell="H24" sqref="H24:AC44"/>
    </sheetView>
  </sheetViews>
  <sheetFormatPr baseColWidth="10" defaultColWidth="8.83203125" defaultRowHeight="15" x14ac:dyDescent="0.2"/>
  <cols>
    <col min="3" max="3" width="9.1640625" customWidth="1"/>
    <col min="13" max="31" width="9.5" bestFit="1" customWidth="1"/>
  </cols>
  <sheetData>
    <row r="1" spans="1:31" x14ac:dyDescent="0.2">
      <c r="D1" t="s">
        <v>254</v>
      </c>
      <c r="F1" t="s">
        <v>255</v>
      </c>
    </row>
    <row r="2" spans="1:31" x14ac:dyDescent="0.2">
      <c r="A2" t="s">
        <v>258</v>
      </c>
      <c r="C2" t="s">
        <v>100</v>
      </c>
      <c r="D2" t="s">
        <v>256</v>
      </c>
      <c r="E2" t="s">
        <v>101</v>
      </c>
      <c r="F2" t="s">
        <v>256</v>
      </c>
      <c r="G2" t="s">
        <v>257</v>
      </c>
      <c r="J2">
        <v>1</v>
      </c>
      <c r="K2">
        <v>2</v>
      </c>
      <c r="L2">
        <v>3</v>
      </c>
      <c r="M2">
        <v>4</v>
      </c>
      <c r="N2">
        <v>5</v>
      </c>
      <c r="O2">
        <v>6</v>
      </c>
      <c r="P2">
        <v>7</v>
      </c>
      <c r="Q2">
        <v>8</v>
      </c>
      <c r="R2">
        <v>9</v>
      </c>
      <c r="S2">
        <v>10</v>
      </c>
      <c r="T2">
        <v>11</v>
      </c>
      <c r="U2">
        <v>12</v>
      </c>
      <c r="V2">
        <v>13</v>
      </c>
      <c r="W2">
        <v>14</v>
      </c>
      <c r="X2">
        <v>15</v>
      </c>
      <c r="Y2">
        <v>16</v>
      </c>
      <c r="Z2">
        <v>17</v>
      </c>
      <c r="AA2">
        <v>18</v>
      </c>
      <c r="AB2">
        <v>19</v>
      </c>
      <c r="AC2">
        <v>20</v>
      </c>
    </row>
    <row r="3" spans="1:31" x14ac:dyDescent="0.2">
      <c r="A3">
        <v>1</v>
      </c>
      <c r="B3">
        <f>A3*A3*A3</f>
        <v>1</v>
      </c>
      <c r="C3">
        <f>B3</f>
        <v>1</v>
      </c>
      <c r="D3">
        <f>A3</f>
        <v>1</v>
      </c>
      <c r="E3">
        <f>C3</f>
        <v>1</v>
      </c>
      <c r="F3">
        <f>D3*3</f>
        <v>3</v>
      </c>
      <c r="G3">
        <f>A3</f>
        <v>1</v>
      </c>
      <c r="H3" s="1">
        <f>G3*4</f>
        <v>4</v>
      </c>
      <c r="I3" s="11"/>
      <c r="J3" s="11">
        <f>(10+$G3*4)/100</f>
        <v>0.14000000000000001</v>
      </c>
      <c r="K3" s="10">
        <f t="shared" ref="K3:K22" si="0">POWER($J3,K$2)</f>
        <v>1.9600000000000003E-2</v>
      </c>
      <c r="L3" s="10">
        <f t="shared" ref="L3:AA18" si="1">POWER($J3,L$2)</f>
        <v>2.7440000000000008E-3</v>
      </c>
      <c r="M3" s="10">
        <f t="shared" si="1"/>
        <v>3.8416000000000009E-4</v>
      </c>
      <c r="N3" s="10">
        <f t="shared" si="1"/>
        <v>5.3782400000000016E-5</v>
      </c>
      <c r="O3" s="10">
        <f t="shared" si="1"/>
        <v>7.5295360000000032E-6</v>
      </c>
      <c r="P3" s="10">
        <f t="shared" si="1"/>
        <v>1.0541350400000005E-6</v>
      </c>
      <c r="Q3" s="10">
        <f t="shared" si="1"/>
        <v>1.4757890560000008E-7</v>
      </c>
      <c r="R3" s="10">
        <f t="shared" si="1"/>
        <v>2.0661046784000011E-8</v>
      </c>
      <c r="S3" s="10">
        <f t="shared" si="1"/>
        <v>2.8925465497600019E-9</v>
      </c>
      <c r="T3" s="10">
        <f t="shared" si="1"/>
        <v>4.0495651696640033E-10</v>
      </c>
      <c r="U3" s="10">
        <f t="shared" si="1"/>
        <v>5.6693912375296041E-11</v>
      </c>
      <c r="V3" s="10">
        <f t="shared" si="1"/>
        <v>7.9371477325414471E-12</v>
      </c>
      <c r="W3" s="10">
        <f t="shared" si="1"/>
        <v>1.1112006825558027E-12</v>
      </c>
      <c r="X3" s="10">
        <f t="shared" si="1"/>
        <v>1.5556809555781236E-13</v>
      </c>
      <c r="Y3" s="10">
        <f t="shared" si="1"/>
        <v>2.1779533378093735E-14</v>
      </c>
      <c r="Z3" s="10">
        <f t="shared" si="1"/>
        <v>3.0491346729331231E-15</v>
      </c>
      <c r="AA3" s="10">
        <f t="shared" si="1"/>
        <v>4.2687885421063729E-16</v>
      </c>
      <c r="AB3" s="10">
        <f t="shared" ref="AB3:AC18" si="2">POWER($J3,AB$2)</f>
        <v>5.9763039589489225E-17</v>
      </c>
      <c r="AC3" s="10">
        <f t="shared" si="2"/>
        <v>8.3668255425284913E-18</v>
      </c>
      <c r="AD3" s="10"/>
      <c r="AE3" s="10"/>
    </row>
    <row r="4" spans="1:31" x14ac:dyDescent="0.2">
      <c r="A4">
        <v>2</v>
      </c>
      <c r="B4">
        <f t="shared" ref="B4:B22" si="3">A4*A4*A4</f>
        <v>8</v>
      </c>
      <c r="C4">
        <f t="shared" ref="C4:C22" si="4">B4</f>
        <v>8</v>
      </c>
      <c r="D4">
        <f t="shared" ref="D4:D22" si="5">A4</f>
        <v>2</v>
      </c>
      <c r="E4">
        <f t="shared" ref="E4:E22" si="6">C4</f>
        <v>8</v>
      </c>
      <c r="F4">
        <f t="shared" ref="F4:F22" si="7">D4*3</f>
        <v>6</v>
      </c>
      <c r="G4">
        <f t="shared" ref="G4:G22" si="8">A4</f>
        <v>2</v>
      </c>
      <c r="H4" s="1">
        <f t="shared" ref="H4:H22" si="9">G4*4</f>
        <v>8</v>
      </c>
      <c r="I4" s="11"/>
      <c r="J4" s="11">
        <f t="shared" ref="J4:J22" si="10">(10+$G4*4)/100</f>
        <v>0.18</v>
      </c>
      <c r="K4" s="10">
        <f t="shared" si="0"/>
        <v>3.2399999999999998E-2</v>
      </c>
      <c r="L4" s="10">
        <f t="shared" si="1"/>
        <v>5.8319999999999995E-3</v>
      </c>
      <c r="M4" s="10">
        <f t="shared" si="1"/>
        <v>1.0497599999999998E-3</v>
      </c>
      <c r="N4" s="10">
        <f t="shared" si="1"/>
        <v>1.8895679999999997E-4</v>
      </c>
      <c r="O4" s="10">
        <f t="shared" si="1"/>
        <v>3.4012223999999992E-5</v>
      </c>
      <c r="P4" s="10">
        <f t="shared" si="1"/>
        <v>6.1222003199999982E-6</v>
      </c>
      <c r="Q4" s="10">
        <f t="shared" si="1"/>
        <v>1.1019960575999996E-6</v>
      </c>
      <c r="R4" s="10">
        <f t="shared" si="1"/>
        <v>1.9835929036799993E-7</v>
      </c>
      <c r="S4" s="10">
        <f t="shared" si="1"/>
        <v>3.5704672266239987E-8</v>
      </c>
      <c r="T4" s="10">
        <f t="shared" si="1"/>
        <v>6.4268410079231967E-9</v>
      </c>
      <c r="U4" s="10">
        <f t="shared" si="1"/>
        <v>1.1568313814261754E-9</v>
      </c>
      <c r="V4" s="10">
        <f t="shared" si="1"/>
        <v>2.0822964865671158E-10</v>
      </c>
      <c r="W4" s="10">
        <f t="shared" si="1"/>
        <v>3.7481336758208081E-11</v>
      </c>
      <c r="X4" s="10">
        <f t="shared" si="1"/>
        <v>6.7466406164774543E-12</v>
      </c>
      <c r="Y4" s="10">
        <f t="shared" si="1"/>
        <v>1.2143953109659415E-12</v>
      </c>
      <c r="Z4" s="10">
        <f t="shared" si="1"/>
        <v>2.1859115597386947E-13</v>
      </c>
      <c r="AA4" s="10">
        <f t="shared" si="1"/>
        <v>3.9346408075296503E-14</v>
      </c>
      <c r="AB4" s="10">
        <f t="shared" si="2"/>
        <v>7.0823534535533701E-15</v>
      </c>
      <c r="AC4" s="10">
        <f t="shared" si="2"/>
        <v>1.2748236216396066E-15</v>
      </c>
      <c r="AD4" s="10"/>
      <c r="AE4" s="10"/>
    </row>
    <row r="5" spans="1:31" x14ac:dyDescent="0.2">
      <c r="A5">
        <v>3</v>
      </c>
      <c r="B5">
        <f t="shared" si="3"/>
        <v>27</v>
      </c>
      <c r="C5">
        <f t="shared" si="4"/>
        <v>27</v>
      </c>
      <c r="D5">
        <f t="shared" si="5"/>
        <v>3</v>
      </c>
      <c r="E5">
        <f t="shared" si="6"/>
        <v>27</v>
      </c>
      <c r="F5">
        <f t="shared" si="7"/>
        <v>9</v>
      </c>
      <c r="G5">
        <f t="shared" si="8"/>
        <v>3</v>
      </c>
      <c r="H5" s="1">
        <f t="shared" si="9"/>
        <v>12</v>
      </c>
      <c r="I5" s="11"/>
      <c r="J5" s="11">
        <f t="shared" si="10"/>
        <v>0.22</v>
      </c>
      <c r="K5" s="10">
        <f t="shared" si="0"/>
        <v>4.8399999999999999E-2</v>
      </c>
      <c r="L5" s="10">
        <f t="shared" si="1"/>
        <v>1.0647999999999999E-2</v>
      </c>
      <c r="M5" s="10">
        <f t="shared" si="1"/>
        <v>2.34256E-3</v>
      </c>
      <c r="N5" s="10">
        <f t="shared" si="1"/>
        <v>5.1536319999999998E-4</v>
      </c>
      <c r="O5" s="10">
        <f t="shared" si="1"/>
        <v>1.1337990399999999E-4</v>
      </c>
      <c r="P5" s="10">
        <f t="shared" si="1"/>
        <v>2.4943578880000001E-5</v>
      </c>
      <c r="Q5" s="10">
        <f t="shared" si="1"/>
        <v>5.4875873536E-6</v>
      </c>
      <c r="R5" s="10">
        <f t="shared" si="1"/>
        <v>1.2072692177920001E-6</v>
      </c>
      <c r="S5" s="10">
        <f t="shared" si="1"/>
        <v>2.6559922791423998E-7</v>
      </c>
      <c r="T5" s="10">
        <f t="shared" si="1"/>
        <v>5.8431830141132797E-8</v>
      </c>
      <c r="U5" s="10">
        <f t="shared" si="1"/>
        <v>1.2855002631049216E-8</v>
      </c>
      <c r="V5" s="10">
        <f t="shared" si="1"/>
        <v>2.8281005788308272E-9</v>
      </c>
      <c r="W5" s="10">
        <f t="shared" si="1"/>
        <v>6.2218212734278205E-10</v>
      </c>
      <c r="X5" s="10">
        <f t="shared" si="1"/>
        <v>1.3688006801541207E-10</v>
      </c>
      <c r="Y5" s="10">
        <f t="shared" si="1"/>
        <v>3.0113614963390653E-11</v>
      </c>
      <c r="Z5" s="10">
        <f t="shared" si="1"/>
        <v>6.6249952919459438E-12</v>
      </c>
      <c r="AA5" s="10">
        <f t="shared" si="1"/>
        <v>1.4574989642281075E-12</v>
      </c>
      <c r="AB5" s="10">
        <f t="shared" si="2"/>
        <v>3.2064977213018368E-13</v>
      </c>
      <c r="AC5" s="10">
        <f t="shared" si="2"/>
        <v>7.0542949868640404E-14</v>
      </c>
      <c r="AD5" s="10"/>
      <c r="AE5" s="10"/>
    </row>
    <row r="6" spans="1:31" x14ac:dyDescent="0.2">
      <c r="A6">
        <v>4</v>
      </c>
      <c r="B6">
        <f t="shared" si="3"/>
        <v>64</v>
      </c>
      <c r="C6">
        <f t="shared" si="4"/>
        <v>64</v>
      </c>
      <c r="D6">
        <f t="shared" si="5"/>
        <v>4</v>
      </c>
      <c r="E6">
        <f t="shared" si="6"/>
        <v>64</v>
      </c>
      <c r="F6">
        <f t="shared" si="7"/>
        <v>12</v>
      </c>
      <c r="G6">
        <f t="shared" si="8"/>
        <v>4</v>
      </c>
      <c r="H6" s="1">
        <f t="shared" si="9"/>
        <v>16</v>
      </c>
      <c r="I6" s="11"/>
      <c r="J6" s="11">
        <f t="shared" si="10"/>
        <v>0.26</v>
      </c>
      <c r="K6" s="10">
        <f t="shared" si="0"/>
        <v>6.7600000000000007E-2</v>
      </c>
      <c r="L6" s="10">
        <f t="shared" si="1"/>
        <v>1.7576000000000001E-2</v>
      </c>
      <c r="M6" s="10">
        <f t="shared" si="1"/>
        <v>4.5697600000000008E-3</v>
      </c>
      <c r="N6" s="10">
        <f t="shared" si="1"/>
        <v>1.1881376000000003E-3</v>
      </c>
      <c r="O6" s="10">
        <f t="shared" si="1"/>
        <v>3.0891577600000009E-4</v>
      </c>
      <c r="P6" s="10">
        <f t="shared" si="1"/>
        <v>8.0318101760000016E-5</v>
      </c>
      <c r="Q6" s="10">
        <f t="shared" si="1"/>
        <v>2.0882706457600008E-5</v>
      </c>
      <c r="R6" s="10">
        <f t="shared" si="1"/>
        <v>5.4295036789760025E-6</v>
      </c>
      <c r="S6" s="10">
        <f t="shared" si="1"/>
        <v>1.4116709565337606E-6</v>
      </c>
      <c r="T6" s="10">
        <f t="shared" si="1"/>
        <v>3.6703444869877774E-7</v>
      </c>
      <c r="U6" s="10">
        <f t="shared" si="1"/>
        <v>9.5428956661682233E-8</v>
      </c>
      <c r="V6" s="10">
        <f t="shared" si="1"/>
        <v>2.4811528732037381E-8</v>
      </c>
      <c r="W6" s="10">
        <f t="shared" si="1"/>
        <v>6.450997470329719E-9</v>
      </c>
      <c r="X6" s="10">
        <f t="shared" si="1"/>
        <v>1.6772593422857269E-9</v>
      </c>
      <c r="Y6" s="10">
        <f t="shared" si="1"/>
        <v>4.3608742899428907E-10</v>
      </c>
      <c r="Z6" s="10">
        <f t="shared" si="1"/>
        <v>1.1338273153851516E-10</v>
      </c>
      <c r="AA6" s="10">
        <f t="shared" si="1"/>
        <v>2.9479510200013945E-11</v>
      </c>
      <c r="AB6" s="10">
        <f t="shared" si="2"/>
        <v>7.6646726520036255E-12</v>
      </c>
      <c r="AC6" s="10">
        <f t="shared" si="2"/>
        <v>1.9928148895209427E-12</v>
      </c>
      <c r="AD6" s="10"/>
      <c r="AE6" s="10"/>
    </row>
    <row r="7" spans="1:31" x14ac:dyDescent="0.2">
      <c r="A7">
        <v>5</v>
      </c>
      <c r="B7">
        <f t="shared" si="3"/>
        <v>125</v>
      </c>
      <c r="C7">
        <f t="shared" si="4"/>
        <v>125</v>
      </c>
      <c r="D7">
        <f t="shared" si="5"/>
        <v>5</v>
      </c>
      <c r="E7">
        <f t="shared" si="6"/>
        <v>125</v>
      </c>
      <c r="F7">
        <f t="shared" si="7"/>
        <v>15</v>
      </c>
      <c r="G7">
        <f t="shared" si="8"/>
        <v>5</v>
      </c>
      <c r="H7" s="1">
        <f t="shared" si="9"/>
        <v>20</v>
      </c>
      <c r="I7" s="11"/>
      <c r="J7" s="11">
        <f t="shared" si="10"/>
        <v>0.3</v>
      </c>
      <c r="K7" s="10">
        <f t="shared" si="0"/>
        <v>0.09</v>
      </c>
      <c r="L7" s="10">
        <f t="shared" si="1"/>
        <v>2.7E-2</v>
      </c>
      <c r="M7" s="10">
        <f t="shared" si="1"/>
        <v>8.0999999999999996E-3</v>
      </c>
      <c r="N7" s="10">
        <f t="shared" si="1"/>
        <v>2.4299999999999999E-3</v>
      </c>
      <c r="O7" s="10">
        <f t="shared" si="1"/>
        <v>7.2899999999999994E-4</v>
      </c>
      <c r="P7" s="10">
        <f t="shared" si="1"/>
        <v>2.1869999999999998E-4</v>
      </c>
      <c r="Q7" s="10">
        <f t="shared" si="1"/>
        <v>6.560999999999999E-5</v>
      </c>
      <c r="R7" s="10">
        <f t="shared" si="1"/>
        <v>1.9682999999999998E-5</v>
      </c>
      <c r="S7" s="10">
        <f t="shared" si="1"/>
        <v>5.9048999999999991E-6</v>
      </c>
      <c r="T7" s="10">
        <f t="shared" si="1"/>
        <v>1.7714699999999997E-6</v>
      </c>
      <c r="U7" s="10">
        <f t="shared" si="1"/>
        <v>5.3144099999999987E-7</v>
      </c>
      <c r="V7" s="10">
        <f t="shared" si="1"/>
        <v>1.5943229999999997E-7</v>
      </c>
      <c r="W7" s="10">
        <f t="shared" si="1"/>
        <v>4.7829689999999986E-8</v>
      </c>
      <c r="X7" s="10">
        <f t="shared" si="1"/>
        <v>1.4348906999999997E-8</v>
      </c>
      <c r="Y7" s="10">
        <f t="shared" si="1"/>
        <v>4.3046720999999984E-9</v>
      </c>
      <c r="Z7" s="10">
        <f t="shared" si="1"/>
        <v>1.2914016299999995E-9</v>
      </c>
      <c r="AA7" s="10">
        <f t="shared" si="1"/>
        <v>3.8742048899999985E-10</v>
      </c>
      <c r="AB7" s="10">
        <f t="shared" si="2"/>
        <v>1.1622614669999996E-10</v>
      </c>
      <c r="AC7" s="10">
        <f t="shared" si="2"/>
        <v>3.4867844009999988E-11</v>
      </c>
      <c r="AD7" s="10"/>
      <c r="AE7" s="10"/>
    </row>
    <row r="8" spans="1:31" x14ac:dyDescent="0.2">
      <c r="A8">
        <v>6</v>
      </c>
      <c r="B8">
        <f t="shared" si="3"/>
        <v>216</v>
      </c>
      <c r="C8">
        <f t="shared" si="4"/>
        <v>216</v>
      </c>
      <c r="D8">
        <f t="shared" si="5"/>
        <v>6</v>
      </c>
      <c r="E8">
        <f t="shared" si="6"/>
        <v>216</v>
      </c>
      <c r="F8">
        <f t="shared" si="7"/>
        <v>18</v>
      </c>
      <c r="G8">
        <f t="shared" si="8"/>
        <v>6</v>
      </c>
      <c r="H8" s="1">
        <f t="shared" si="9"/>
        <v>24</v>
      </c>
      <c r="I8" s="11"/>
      <c r="J8" s="11">
        <f t="shared" si="10"/>
        <v>0.34</v>
      </c>
      <c r="K8" s="10">
        <f t="shared" si="0"/>
        <v>0.11560000000000002</v>
      </c>
      <c r="L8" s="10">
        <f t="shared" si="1"/>
        <v>3.9304000000000013E-2</v>
      </c>
      <c r="M8" s="10">
        <f t="shared" si="1"/>
        <v>1.3363360000000005E-2</v>
      </c>
      <c r="N8" s="10">
        <f t="shared" si="1"/>
        <v>4.5435424000000021E-3</v>
      </c>
      <c r="O8" s="10">
        <f t="shared" si="1"/>
        <v>1.5448044160000008E-3</v>
      </c>
      <c r="P8" s="10">
        <f t="shared" si="1"/>
        <v>5.2523350144000037E-4</v>
      </c>
      <c r="Q8" s="10">
        <f t="shared" si="1"/>
        <v>1.7857939048960013E-4</v>
      </c>
      <c r="R8" s="10">
        <f t="shared" si="1"/>
        <v>6.0716992766464047E-5</v>
      </c>
      <c r="S8" s="10">
        <f t="shared" si="1"/>
        <v>2.064377754059778E-5</v>
      </c>
      <c r="T8" s="10">
        <f t="shared" si="1"/>
        <v>7.0188843638032455E-6</v>
      </c>
      <c r="U8" s="10">
        <f t="shared" si="1"/>
        <v>2.3864206836931037E-6</v>
      </c>
      <c r="V8" s="10">
        <f t="shared" si="1"/>
        <v>8.1138303245565528E-7</v>
      </c>
      <c r="W8" s="10">
        <f t="shared" si="1"/>
        <v>2.7587023103492284E-7</v>
      </c>
      <c r="X8" s="10">
        <f t="shared" si="1"/>
        <v>9.3795878551873778E-8</v>
      </c>
      <c r="Y8" s="10">
        <f t="shared" si="1"/>
        <v>3.1890598707637081E-8</v>
      </c>
      <c r="Z8" s="10">
        <f t="shared" si="1"/>
        <v>1.0842803560596608E-8</v>
      </c>
      <c r="AA8" s="10">
        <f t="shared" si="1"/>
        <v>3.6865532106028475E-9</v>
      </c>
      <c r="AB8" s="10">
        <f t="shared" si="2"/>
        <v>1.2534280916049683E-9</v>
      </c>
      <c r="AC8" s="10">
        <f t="shared" si="2"/>
        <v>4.2616555114568921E-10</v>
      </c>
      <c r="AD8" s="10"/>
      <c r="AE8" s="10"/>
    </row>
    <row r="9" spans="1:31" x14ac:dyDescent="0.2">
      <c r="A9">
        <v>7</v>
      </c>
      <c r="B9">
        <f t="shared" si="3"/>
        <v>343</v>
      </c>
      <c r="C9">
        <f t="shared" si="4"/>
        <v>343</v>
      </c>
      <c r="D9">
        <f t="shared" si="5"/>
        <v>7</v>
      </c>
      <c r="E9">
        <f t="shared" si="6"/>
        <v>343</v>
      </c>
      <c r="F9">
        <f t="shared" si="7"/>
        <v>21</v>
      </c>
      <c r="G9">
        <f t="shared" si="8"/>
        <v>7</v>
      </c>
      <c r="H9" s="1">
        <f t="shared" si="9"/>
        <v>28</v>
      </c>
      <c r="I9" s="11"/>
      <c r="J9" s="11">
        <f t="shared" si="10"/>
        <v>0.38</v>
      </c>
      <c r="K9" s="10">
        <f t="shared" si="0"/>
        <v>0.1444</v>
      </c>
      <c r="L9" s="10">
        <f t="shared" si="1"/>
        <v>5.4872000000000004E-2</v>
      </c>
      <c r="M9" s="10">
        <f t="shared" si="1"/>
        <v>2.0851359999999999E-2</v>
      </c>
      <c r="N9" s="10">
        <f t="shared" si="1"/>
        <v>7.9235168000000005E-3</v>
      </c>
      <c r="O9" s="10">
        <f t="shared" si="1"/>
        <v>3.0109363839999998E-3</v>
      </c>
      <c r="P9" s="10">
        <f t="shared" si="1"/>
        <v>1.1441558259200001E-3</v>
      </c>
      <c r="Q9" s="10">
        <f t="shared" si="1"/>
        <v>4.3477921384959997E-4</v>
      </c>
      <c r="R9" s="10">
        <f t="shared" si="1"/>
        <v>1.65216101262848E-4</v>
      </c>
      <c r="S9" s="10">
        <f t="shared" si="1"/>
        <v>6.2782118479882233E-5</v>
      </c>
      <c r="T9" s="10">
        <f t="shared" si="1"/>
        <v>2.3857205022355252E-5</v>
      </c>
      <c r="U9" s="10">
        <f t="shared" si="1"/>
        <v>9.0657379084949944E-6</v>
      </c>
      <c r="V9" s="10">
        <f t="shared" si="1"/>
        <v>3.4449804052280984E-6</v>
      </c>
      <c r="W9" s="10">
        <f t="shared" si="1"/>
        <v>1.3090925539866772E-6</v>
      </c>
      <c r="X9" s="10">
        <f t="shared" si="1"/>
        <v>4.9745517051493739E-7</v>
      </c>
      <c r="Y9" s="10">
        <f t="shared" si="1"/>
        <v>1.8903296479567617E-7</v>
      </c>
      <c r="Z9" s="10">
        <f t="shared" si="1"/>
        <v>7.1832526622356948E-8</v>
      </c>
      <c r="AA9" s="10">
        <f t="shared" si="1"/>
        <v>2.7296360116495638E-8</v>
      </c>
      <c r="AB9" s="10">
        <f t="shared" si="2"/>
        <v>1.0372616844268344E-8</v>
      </c>
      <c r="AC9" s="10">
        <f t="shared" si="2"/>
        <v>3.9415944008219706E-9</v>
      </c>
      <c r="AD9" s="10"/>
      <c r="AE9" s="10"/>
    </row>
    <row r="10" spans="1:31" x14ac:dyDescent="0.2">
      <c r="A10">
        <v>8</v>
      </c>
      <c r="B10">
        <f t="shared" si="3"/>
        <v>512</v>
      </c>
      <c r="C10">
        <f t="shared" si="4"/>
        <v>512</v>
      </c>
      <c r="D10">
        <f t="shared" si="5"/>
        <v>8</v>
      </c>
      <c r="E10">
        <f t="shared" si="6"/>
        <v>512</v>
      </c>
      <c r="F10">
        <f t="shared" si="7"/>
        <v>24</v>
      </c>
      <c r="G10">
        <f t="shared" si="8"/>
        <v>8</v>
      </c>
      <c r="H10" s="1">
        <f t="shared" si="9"/>
        <v>32</v>
      </c>
      <c r="I10" s="11"/>
      <c r="J10" s="11">
        <f t="shared" si="10"/>
        <v>0.42</v>
      </c>
      <c r="K10" s="10">
        <f t="shared" si="0"/>
        <v>0.17639999999999997</v>
      </c>
      <c r="L10" s="10">
        <f t="shared" si="1"/>
        <v>7.4087999999999987E-2</v>
      </c>
      <c r="M10" s="10">
        <f t="shared" si="1"/>
        <v>3.1116959999999992E-2</v>
      </c>
      <c r="N10" s="10">
        <f t="shared" si="1"/>
        <v>1.3069123199999996E-2</v>
      </c>
      <c r="O10" s="10">
        <f t="shared" si="1"/>
        <v>5.489031743999998E-3</v>
      </c>
      <c r="P10" s="10">
        <f t="shared" si="1"/>
        <v>2.305393332479999E-3</v>
      </c>
      <c r="Q10" s="10">
        <f t="shared" si="1"/>
        <v>9.6826519964159953E-4</v>
      </c>
      <c r="R10" s="10">
        <f t="shared" si="1"/>
        <v>4.0667138384947179E-4</v>
      </c>
      <c r="S10" s="10">
        <f t="shared" si="1"/>
        <v>1.7080198121677812E-4</v>
      </c>
      <c r="T10" s="10">
        <f t="shared" si="1"/>
        <v>7.1736832111046807E-5</v>
      </c>
      <c r="U10" s="10">
        <f t="shared" si="1"/>
        <v>3.0129469486639658E-5</v>
      </c>
      <c r="V10" s="10">
        <f t="shared" si="1"/>
        <v>1.2654377184388657E-5</v>
      </c>
      <c r="W10" s="10">
        <f t="shared" si="1"/>
        <v>5.3148384174432357E-6</v>
      </c>
      <c r="X10" s="10">
        <f t="shared" si="1"/>
        <v>2.2322321353261587E-6</v>
      </c>
      <c r="Y10" s="10">
        <f t="shared" si="1"/>
        <v>9.3753749683698659E-7</v>
      </c>
      <c r="Z10" s="10">
        <f t="shared" si="1"/>
        <v>3.9376574867153433E-7</v>
      </c>
      <c r="AA10" s="10">
        <f t="shared" si="1"/>
        <v>1.6538161444204441E-7</v>
      </c>
      <c r="AB10" s="10">
        <f t="shared" si="2"/>
        <v>6.9460278065658649E-8</v>
      </c>
      <c r="AC10" s="10">
        <f t="shared" si="2"/>
        <v>2.9173316787576632E-8</v>
      </c>
      <c r="AD10" s="10"/>
      <c r="AE10" s="10"/>
    </row>
    <row r="11" spans="1:31" x14ac:dyDescent="0.2">
      <c r="A11">
        <v>9</v>
      </c>
      <c r="B11">
        <f t="shared" si="3"/>
        <v>729</v>
      </c>
      <c r="C11">
        <f t="shared" si="4"/>
        <v>729</v>
      </c>
      <c r="D11">
        <f t="shared" si="5"/>
        <v>9</v>
      </c>
      <c r="E11">
        <f t="shared" si="6"/>
        <v>729</v>
      </c>
      <c r="F11">
        <f t="shared" si="7"/>
        <v>27</v>
      </c>
      <c r="G11">
        <f t="shared" si="8"/>
        <v>9</v>
      </c>
      <c r="H11" s="1">
        <f t="shared" si="9"/>
        <v>36</v>
      </c>
      <c r="I11" s="11"/>
      <c r="J11" s="11">
        <f t="shared" si="10"/>
        <v>0.46</v>
      </c>
      <c r="K11" s="10">
        <f t="shared" si="0"/>
        <v>0.21160000000000001</v>
      </c>
      <c r="L11" s="10">
        <f t="shared" si="1"/>
        <v>9.7336000000000006E-2</v>
      </c>
      <c r="M11" s="10">
        <f t="shared" si="1"/>
        <v>4.4774560000000005E-2</v>
      </c>
      <c r="N11" s="10">
        <f t="shared" si="1"/>
        <v>2.0596297600000004E-2</v>
      </c>
      <c r="O11" s="10">
        <f t="shared" si="1"/>
        <v>9.4742968960000017E-3</v>
      </c>
      <c r="P11" s="10">
        <f t="shared" si="1"/>
        <v>4.3581765721600009E-3</v>
      </c>
      <c r="Q11" s="10">
        <f t="shared" si="1"/>
        <v>2.0047612231936006E-3</v>
      </c>
      <c r="R11" s="10">
        <f t="shared" si="1"/>
        <v>9.2219016266905632E-4</v>
      </c>
      <c r="S11" s="10">
        <f t="shared" si="1"/>
        <v>4.2420747482776593E-4</v>
      </c>
      <c r="T11" s="10">
        <f t="shared" si="1"/>
        <v>1.9513543842077232E-4</v>
      </c>
      <c r="U11" s="10">
        <f t="shared" si="1"/>
        <v>8.9762301673555276E-5</v>
      </c>
      <c r="V11" s="10">
        <f t="shared" si="1"/>
        <v>4.1290658769835428E-5</v>
      </c>
      <c r="W11" s="10">
        <f t="shared" si="1"/>
        <v>1.8993703034124297E-5</v>
      </c>
      <c r="X11" s="10">
        <f t="shared" si="1"/>
        <v>8.737103395697177E-6</v>
      </c>
      <c r="Y11" s="10">
        <f t="shared" si="1"/>
        <v>4.0190675620207015E-6</v>
      </c>
      <c r="Z11" s="10">
        <f t="shared" si="1"/>
        <v>1.8487710785295227E-6</v>
      </c>
      <c r="AA11" s="10">
        <f t="shared" si="1"/>
        <v>8.5043469612358053E-7</v>
      </c>
      <c r="AB11" s="10">
        <f t="shared" si="2"/>
        <v>3.9119996021684702E-7</v>
      </c>
      <c r="AC11" s="10">
        <f t="shared" si="2"/>
        <v>1.7995198169974965E-7</v>
      </c>
      <c r="AD11" s="10"/>
      <c r="AE11" s="10"/>
    </row>
    <row r="12" spans="1:31" x14ac:dyDescent="0.2">
      <c r="A12">
        <v>10</v>
      </c>
      <c r="B12">
        <f t="shared" si="3"/>
        <v>1000</v>
      </c>
      <c r="C12">
        <f t="shared" si="4"/>
        <v>1000</v>
      </c>
      <c r="D12">
        <f t="shared" si="5"/>
        <v>10</v>
      </c>
      <c r="E12">
        <f t="shared" si="6"/>
        <v>1000</v>
      </c>
      <c r="F12">
        <f t="shared" si="7"/>
        <v>30</v>
      </c>
      <c r="G12">
        <f t="shared" si="8"/>
        <v>10</v>
      </c>
      <c r="H12" s="1">
        <f t="shared" si="9"/>
        <v>40</v>
      </c>
      <c r="I12" s="11"/>
      <c r="J12" s="11">
        <f t="shared" si="10"/>
        <v>0.5</v>
      </c>
      <c r="K12" s="10">
        <f t="shared" si="0"/>
        <v>0.25</v>
      </c>
      <c r="L12" s="10">
        <f t="shared" si="1"/>
        <v>0.125</v>
      </c>
      <c r="M12" s="10">
        <f t="shared" si="1"/>
        <v>6.25E-2</v>
      </c>
      <c r="N12" s="10">
        <f t="shared" si="1"/>
        <v>3.125E-2</v>
      </c>
      <c r="O12" s="10">
        <f t="shared" si="1"/>
        <v>1.5625E-2</v>
      </c>
      <c r="P12" s="10">
        <f t="shared" si="1"/>
        <v>7.8125E-3</v>
      </c>
      <c r="Q12" s="10">
        <f t="shared" si="1"/>
        <v>3.90625E-3</v>
      </c>
      <c r="R12" s="10">
        <f t="shared" si="1"/>
        <v>1.953125E-3</v>
      </c>
      <c r="S12" s="10">
        <f t="shared" si="1"/>
        <v>9.765625E-4</v>
      </c>
      <c r="T12" s="10">
        <f t="shared" si="1"/>
        <v>4.8828125E-4</v>
      </c>
      <c r="U12" s="10">
        <f t="shared" si="1"/>
        <v>2.44140625E-4</v>
      </c>
      <c r="V12" s="10">
        <f t="shared" si="1"/>
        <v>1.220703125E-4</v>
      </c>
      <c r="W12" s="10">
        <f t="shared" si="1"/>
        <v>6.103515625E-5</v>
      </c>
      <c r="X12" s="10">
        <f t="shared" si="1"/>
        <v>3.0517578125E-5</v>
      </c>
      <c r="Y12" s="10">
        <f t="shared" si="1"/>
        <v>1.52587890625E-5</v>
      </c>
      <c r="Z12" s="10">
        <f t="shared" si="1"/>
        <v>7.62939453125E-6</v>
      </c>
      <c r="AA12" s="10">
        <f t="shared" si="1"/>
        <v>3.814697265625E-6</v>
      </c>
      <c r="AB12" s="10">
        <f t="shared" si="2"/>
        <v>1.9073486328125E-6</v>
      </c>
      <c r="AC12" s="10">
        <f t="shared" si="2"/>
        <v>9.5367431640625E-7</v>
      </c>
      <c r="AD12" s="10"/>
      <c r="AE12" s="10"/>
    </row>
    <row r="13" spans="1:31" x14ac:dyDescent="0.2">
      <c r="A13">
        <v>11</v>
      </c>
      <c r="B13">
        <f t="shared" si="3"/>
        <v>1331</v>
      </c>
      <c r="C13">
        <f t="shared" si="4"/>
        <v>1331</v>
      </c>
      <c r="D13">
        <f t="shared" si="5"/>
        <v>11</v>
      </c>
      <c r="E13">
        <f t="shared" si="6"/>
        <v>1331</v>
      </c>
      <c r="F13">
        <f t="shared" si="7"/>
        <v>33</v>
      </c>
      <c r="G13">
        <f t="shared" si="8"/>
        <v>11</v>
      </c>
      <c r="H13" s="1">
        <f t="shared" si="9"/>
        <v>44</v>
      </c>
      <c r="I13" s="11"/>
      <c r="J13" s="11">
        <f t="shared" si="10"/>
        <v>0.54</v>
      </c>
      <c r="K13" s="10">
        <f t="shared" si="0"/>
        <v>0.29160000000000003</v>
      </c>
      <c r="L13" s="10">
        <f t="shared" si="1"/>
        <v>0.15746400000000002</v>
      </c>
      <c r="M13" s="10">
        <f t="shared" si="1"/>
        <v>8.5030560000000019E-2</v>
      </c>
      <c r="N13" s="10">
        <f t="shared" si="1"/>
        <v>4.591650240000001E-2</v>
      </c>
      <c r="O13" s="10">
        <f t="shared" si="1"/>
        <v>2.4794911296000009E-2</v>
      </c>
      <c r="P13" s="10">
        <f t="shared" si="1"/>
        <v>1.3389252099840005E-2</v>
      </c>
      <c r="Q13" s="10">
        <f t="shared" si="1"/>
        <v>7.2301961339136028E-3</v>
      </c>
      <c r="R13" s="10">
        <f t="shared" si="1"/>
        <v>3.9043059123133458E-3</v>
      </c>
      <c r="S13" s="10">
        <f t="shared" si="1"/>
        <v>2.1083251926492068E-3</v>
      </c>
      <c r="T13" s="10">
        <f t="shared" si="1"/>
        <v>1.1384956040305717E-3</v>
      </c>
      <c r="U13" s="10">
        <f t="shared" si="1"/>
        <v>6.1478762617650875E-4</v>
      </c>
      <c r="V13" s="10">
        <f t="shared" si="1"/>
        <v>3.3198531813531472E-4</v>
      </c>
      <c r="W13" s="10">
        <f t="shared" si="1"/>
        <v>1.7927207179306998E-4</v>
      </c>
      <c r="X13" s="10">
        <f t="shared" si="1"/>
        <v>9.6806918768257798E-5</v>
      </c>
      <c r="Y13" s="10">
        <f t="shared" si="1"/>
        <v>5.2275736134859209E-5</v>
      </c>
      <c r="Z13" s="10">
        <f t="shared" si="1"/>
        <v>2.8228897512823974E-5</v>
      </c>
      <c r="AA13" s="10">
        <f t="shared" si="1"/>
        <v>1.5243604656924947E-5</v>
      </c>
      <c r="AB13" s="10">
        <f t="shared" si="2"/>
        <v>8.2315465147394723E-6</v>
      </c>
      <c r="AC13" s="10">
        <f t="shared" si="2"/>
        <v>4.4450351179593148E-6</v>
      </c>
      <c r="AD13" s="10"/>
      <c r="AE13" s="10"/>
    </row>
    <row r="14" spans="1:31" x14ac:dyDescent="0.2">
      <c r="A14">
        <v>12</v>
      </c>
      <c r="B14">
        <f t="shared" si="3"/>
        <v>1728</v>
      </c>
      <c r="C14">
        <f t="shared" si="4"/>
        <v>1728</v>
      </c>
      <c r="D14">
        <f t="shared" si="5"/>
        <v>12</v>
      </c>
      <c r="E14">
        <f t="shared" si="6"/>
        <v>1728</v>
      </c>
      <c r="F14">
        <f t="shared" si="7"/>
        <v>36</v>
      </c>
      <c r="G14">
        <f t="shared" si="8"/>
        <v>12</v>
      </c>
      <c r="H14" s="1">
        <f t="shared" si="9"/>
        <v>48</v>
      </c>
      <c r="I14" s="11"/>
      <c r="J14" s="11">
        <f t="shared" si="10"/>
        <v>0.57999999999999996</v>
      </c>
      <c r="K14" s="10">
        <f t="shared" si="0"/>
        <v>0.33639999999999998</v>
      </c>
      <c r="L14" s="10">
        <f t="shared" si="1"/>
        <v>0.19511199999999998</v>
      </c>
      <c r="M14" s="10">
        <f t="shared" si="1"/>
        <v>0.11316495999999998</v>
      </c>
      <c r="N14" s="10">
        <f t="shared" si="1"/>
        <v>6.5635676799999987E-2</v>
      </c>
      <c r="O14" s="10">
        <f t="shared" si="1"/>
        <v>3.8068692543999992E-2</v>
      </c>
      <c r="P14" s="10">
        <f t="shared" si="1"/>
        <v>2.2079841675519993E-2</v>
      </c>
      <c r="Q14" s="10">
        <f t="shared" si="1"/>
        <v>1.2806308171801596E-2</v>
      </c>
      <c r="R14" s="10">
        <f t="shared" si="1"/>
        <v>7.4276587396449253E-3</v>
      </c>
      <c r="S14" s="10">
        <f t="shared" si="1"/>
        <v>4.3080420689940568E-3</v>
      </c>
      <c r="T14" s="10">
        <f t="shared" si="1"/>
        <v>2.4986644000165527E-3</v>
      </c>
      <c r="U14" s="10">
        <f t="shared" si="1"/>
        <v>1.4492253520096005E-3</v>
      </c>
      <c r="V14" s="10">
        <f t="shared" si="1"/>
        <v>8.4055070416556822E-4</v>
      </c>
      <c r="W14" s="10">
        <f t="shared" si="1"/>
        <v>4.8751940841602957E-4</v>
      </c>
      <c r="X14" s="10">
        <f t="shared" si="1"/>
        <v>2.8276125688129713E-4</v>
      </c>
      <c r="Y14" s="10">
        <f t="shared" si="1"/>
        <v>1.6400152899115233E-4</v>
      </c>
      <c r="Z14" s="10">
        <f t="shared" si="1"/>
        <v>9.5120886814868349E-5</v>
      </c>
      <c r="AA14" s="10">
        <f t="shared" si="1"/>
        <v>5.5170114352623638E-5</v>
      </c>
      <c r="AB14" s="10">
        <f t="shared" si="2"/>
        <v>3.199866632452171E-5</v>
      </c>
      <c r="AC14" s="10">
        <f t="shared" si="2"/>
        <v>1.8559226468222589E-5</v>
      </c>
      <c r="AD14" s="10"/>
      <c r="AE14" s="10"/>
    </row>
    <row r="15" spans="1:31" x14ac:dyDescent="0.2">
      <c r="A15">
        <v>13</v>
      </c>
      <c r="B15">
        <f t="shared" si="3"/>
        <v>2197</v>
      </c>
      <c r="C15">
        <f t="shared" si="4"/>
        <v>2197</v>
      </c>
      <c r="D15">
        <f t="shared" si="5"/>
        <v>13</v>
      </c>
      <c r="E15">
        <f t="shared" si="6"/>
        <v>2197</v>
      </c>
      <c r="F15">
        <f t="shared" si="7"/>
        <v>39</v>
      </c>
      <c r="G15">
        <f t="shared" si="8"/>
        <v>13</v>
      </c>
      <c r="H15" s="1">
        <f t="shared" si="9"/>
        <v>52</v>
      </c>
      <c r="I15" s="11"/>
      <c r="J15" s="11">
        <f t="shared" si="10"/>
        <v>0.62</v>
      </c>
      <c r="K15" s="10">
        <f t="shared" si="0"/>
        <v>0.38440000000000002</v>
      </c>
      <c r="L15" s="10">
        <f t="shared" si="1"/>
        <v>0.23832800000000001</v>
      </c>
      <c r="M15" s="10">
        <f t="shared" si="1"/>
        <v>0.14776336000000001</v>
      </c>
      <c r="N15" s="10">
        <f t="shared" si="1"/>
        <v>9.1613283200000006E-2</v>
      </c>
      <c r="O15" s="10">
        <f t="shared" si="1"/>
        <v>5.6800235584000006E-2</v>
      </c>
      <c r="P15" s="10">
        <f t="shared" si="1"/>
        <v>3.5216146062080005E-2</v>
      </c>
      <c r="Q15" s="10">
        <f t="shared" si="1"/>
        <v>2.1834010558489603E-2</v>
      </c>
      <c r="R15" s="10">
        <f t="shared" si="1"/>
        <v>1.3537086546263554E-2</v>
      </c>
      <c r="S15" s="10">
        <f t="shared" si="1"/>
        <v>8.3929936586834043E-3</v>
      </c>
      <c r="T15" s="10">
        <f t="shared" si="1"/>
        <v>5.2036560683837102E-3</v>
      </c>
      <c r="U15" s="10">
        <f t="shared" si="1"/>
        <v>3.2262667623979007E-3</v>
      </c>
      <c r="V15" s="10">
        <f t="shared" si="1"/>
        <v>2.0002853926866983E-3</v>
      </c>
      <c r="W15" s="10">
        <f t="shared" si="1"/>
        <v>1.240176943465753E-3</v>
      </c>
      <c r="X15" s="10">
        <f t="shared" si="1"/>
        <v>7.6890970494876692E-4</v>
      </c>
      <c r="Y15" s="10">
        <f t="shared" si="1"/>
        <v>4.7672401706823543E-4</v>
      </c>
      <c r="Z15" s="10">
        <f t="shared" si="1"/>
        <v>2.9556889058230594E-4</v>
      </c>
      <c r="AA15" s="10">
        <f t="shared" si="1"/>
        <v>1.8325271216102971E-4</v>
      </c>
      <c r="AB15" s="10">
        <f t="shared" si="2"/>
        <v>1.1361668153983842E-4</v>
      </c>
      <c r="AC15" s="10">
        <f t="shared" si="2"/>
        <v>7.0442342554699817E-5</v>
      </c>
      <c r="AD15" s="10"/>
      <c r="AE15" s="10"/>
    </row>
    <row r="16" spans="1:31" x14ac:dyDescent="0.2">
      <c r="A16">
        <v>14</v>
      </c>
      <c r="B16">
        <f t="shared" si="3"/>
        <v>2744</v>
      </c>
      <c r="C16">
        <f t="shared" si="4"/>
        <v>2744</v>
      </c>
      <c r="D16">
        <f t="shared" si="5"/>
        <v>14</v>
      </c>
      <c r="E16">
        <f t="shared" si="6"/>
        <v>2744</v>
      </c>
      <c r="F16">
        <f t="shared" si="7"/>
        <v>42</v>
      </c>
      <c r="G16">
        <f t="shared" si="8"/>
        <v>14</v>
      </c>
      <c r="H16" s="1">
        <f t="shared" si="9"/>
        <v>56</v>
      </c>
      <c r="I16" s="11"/>
      <c r="J16" s="11">
        <f t="shared" si="10"/>
        <v>0.66</v>
      </c>
      <c r="K16" s="10">
        <f t="shared" si="0"/>
        <v>0.43560000000000004</v>
      </c>
      <c r="L16" s="10">
        <f t="shared" si="1"/>
        <v>0.28749600000000003</v>
      </c>
      <c r="M16" s="10">
        <f t="shared" si="1"/>
        <v>0.18974736000000003</v>
      </c>
      <c r="N16" s="10">
        <f t="shared" si="1"/>
        <v>0.12523325760000004</v>
      </c>
      <c r="O16" s="10">
        <f t="shared" si="1"/>
        <v>8.2653950016000025E-2</v>
      </c>
      <c r="P16" s="10">
        <f t="shared" si="1"/>
        <v>5.4551607010560013E-2</v>
      </c>
      <c r="Q16" s="10">
        <f t="shared" si="1"/>
        <v>3.6004060626969613E-2</v>
      </c>
      <c r="R16" s="10">
        <f t="shared" si="1"/>
        <v>2.3762680013799945E-2</v>
      </c>
      <c r="S16" s="10">
        <f t="shared" si="1"/>
        <v>1.5683368809107964E-2</v>
      </c>
      <c r="T16" s="10">
        <f t="shared" si="1"/>
        <v>1.0351023414011257E-2</v>
      </c>
      <c r="U16" s="10">
        <f t="shared" si="1"/>
        <v>6.8316754532474298E-3</v>
      </c>
      <c r="V16" s="10">
        <f t="shared" si="1"/>
        <v>4.5089057991433042E-3</v>
      </c>
      <c r="W16" s="10">
        <f t="shared" si="1"/>
        <v>2.975877827434581E-3</v>
      </c>
      <c r="X16" s="10">
        <f t="shared" si="1"/>
        <v>1.9640793661068233E-3</v>
      </c>
      <c r="Y16" s="10">
        <f t="shared" si="1"/>
        <v>1.2962923816305036E-3</v>
      </c>
      <c r="Z16" s="10">
        <f t="shared" si="1"/>
        <v>8.555529718761324E-4</v>
      </c>
      <c r="AA16" s="10">
        <f t="shared" si="1"/>
        <v>5.6466496143824736E-4</v>
      </c>
      <c r="AB16" s="10">
        <f t="shared" si="2"/>
        <v>3.7267887454924328E-4</v>
      </c>
      <c r="AC16" s="10">
        <f t="shared" si="2"/>
        <v>2.459680572025006E-4</v>
      </c>
      <c r="AD16" s="10"/>
      <c r="AE16" s="10"/>
    </row>
    <row r="17" spans="1:32" x14ac:dyDescent="0.2">
      <c r="A17">
        <v>15</v>
      </c>
      <c r="B17">
        <f t="shared" si="3"/>
        <v>3375</v>
      </c>
      <c r="C17">
        <f t="shared" si="4"/>
        <v>3375</v>
      </c>
      <c r="D17">
        <f t="shared" si="5"/>
        <v>15</v>
      </c>
      <c r="E17">
        <f t="shared" si="6"/>
        <v>3375</v>
      </c>
      <c r="F17">
        <f t="shared" si="7"/>
        <v>45</v>
      </c>
      <c r="G17">
        <f t="shared" si="8"/>
        <v>15</v>
      </c>
      <c r="H17" s="1">
        <f t="shared" si="9"/>
        <v>60</v>
      </c>
      <c r="I17" s="11"/>
      <c r="J17" s="11">
        <f t="shared" si="10"/>
        <v>0.7</v>
      </c>
      <c r="K17" s="10">
        <f t="shared" si="0"/>
        <v>0.48999999999999994</v>
      </c>
      <c r="L17" s="10">
        <f t="shared" si="1"/>
        <v>0.34299999999999992</v>
      </c>
      <c r="M17" s="10">
        <f t="shared" si="1"/>
        <v>0.24009999999999992</v>
      </c>
      <c r="N17" s="10">
        <f t="shared" si="1"/>
        <v>0.16806999999999994</v>
      </c>
      <c r="O17" s="10">
        <f t="shared" si="1"/>
        <v>0.11764899999999995</v>
      </c>
      <c r="P17" s="10">
        <f t="shared" si="1"/>
        <v>8.235429999999995E-2</v>
      </c>
      <c r="Q17" s="10">
        <f t="shared" si="1"/>
        <v>5.7648009999999965E-2</v>
      </c>
      <c r="R17" s="10">
        <f t="shared" si="1"/>
        <v>4.0353606999999972E-2</v>
      </c>
      <c r="S17" s="10">
        <f t="shared" si="1"/>
        <v>2.824752489999998E-2</v>
      </c>
      <c r="T17" s="10">
        <f t="shared" si="1"/>
        <v>1.9773267429999984E-2</v>
      </c>
      <c r="U17" s="10">
        <f t="shared" si="1"/>
        <v>1.3841287200999986E-2</v>
      </c>
      <c r="V17" s="10">
        <f t="shared" si="1"/>
        <v>9.68890104069999E-3</v>
      </c>
      <c r="W17" s="10">
        <f t="shared" si="1"/>
        <v>6.7822307284899925E-3</v>
      </c>
      <c r="X17" s="10">
        <f t="shared" si="1"/>
        <v>4.747561509942994E-3</v>
      </c>
      <c r="Y17" s="10">
        <f t="shared" si="1"/>
        <v>3.3232930569600961E-3</v>
      </c>
      <c r="Z17" s="10">
        <f t="shared" si="1"/>
        <v>2.3263051398720669E-3</v>
      </c>
      <c r="AA17" s="10">
        <f t="shared" si="1"/>
        <v>1.6284135979104468E-3</v>
      </c>
      <c r="AB17" s="10">
        <f t="shared" si="2"/>
        <v>1.1398895185373127E-3</v>
      </c>
      <c r="AC17" s="10">
        <f t="shared" si="2"/>
        <v>7.9792266297611884E-4</v>
      </c>
      <c r="AD17" s="10"/>
      <c r="AE17" s="10"/>
    </row>
    <row r="18" spans="1:32" x14ac:dyDescent="0.2">
      <c r="A18">
        <v>16</v>
      </c>
      <c r="B18">
        <f t="shared" si="3"/>
        <v>4096</v>
      </c>
      <c r="C18">
        <f t="shared" si="4"/>
        <v>4096</v>
      </c>
      <c r="D18">
        <f t="shared" si="5"/>
        <v>16</v>
      </c>
      <c r="E18">
        <f t="shared" si="6"/>
        <v>4096</v>
      </c>
      <c r="F18">
        <f t="shared" si="7"/>
        <v>48</v>
      </c>
      <c r="G18">
        <f t="shared" si="8"/>
        <v>16</v>
      </c>
      <c r="H18" s="1">
        <f t="shared" si="9"/>
        <v>64</v>
      </c>
      <c r="I18" s="11"/>
      <c r="J18" s="11">
        <f t="shared" si="10"/>
        <v>0.74</v>
      </c>
      <c r="K18" s="10">
        <f t="shared" si="0"/>
        <v>0.54759999999999998</v>
      </c>
      <c r="L18" s="10">
        <f t="shared" si="1"/>
        <v>0.40522399999999997</v>
      </c>
      <c r="M18" s="10">
        <f t="shared" si="1"/>
        <v>0.29986575999999998</v>
      </c>
      <c r="N18" s="10">
        <f t="shared" si="1"/>
        <v>0.22190066239999998</v>
      </c>
      <c r="O18" s="10">
        <f t="shared" si="1"/>
        <v>0.16420649017599998</v>
      </c>
      <c r="P18" s="10">
        <f t="shared" si="1"/>
        <v>0.12151280273023998</v>
      </c>
      <c r="Q18" s="10">
        <f t="shared" si="1"/>
        <v>8.9919474020377588E-2</v>
      </c>
      <c r="R18" s="10">
        <f t="shared" si="1"/>
        <v>6.6540410775079412E-2</v>
      </c>
      <c r="S18" s="10">
        <f t="shared" si="1"/>
        <v>4.9239903973558763E-2</v>
      </c>
      <c r="T18" s="10">
        <f t="shared" si="1"/>
        <v>3.6437528940433485E-2</v>
      </c>
      <c r="U18" s="10">
        <f t="shared" si="1"/>
        <v>2.6963771415920778E-2</v>
      </c>
      <c r="V18" s="10">
        <f t="shared" si="1"/>
        <v>1.9953190847781375E-2</v>
      </c>
      <c r="W18" s="10">
        <f t="shared" si="1"/>
        <v>1.4765361227358217E-2</v>
      </c>
      <c r="X18" s="10">
        <f t="shared" si="1"/>
        <v>1.0926367308245082E-2</v>
      </c>
      <c r="Y18" s="10">
        <f t="shared" si="1"/>
        <v>8.0855118081013602E-3</v>
      </c>
      <c r="Z18" s="10">
        <f t="shared" si="1"/>
        <v>5.9832787379950061E-3</v>
      </c>
      <c r="AA18" s="10">
        <f t="shared" ref="Z18:AC22" si="11">POWER($J18,AA$2)</f>
        <v>4.4276262661163048E-3</v>
      </c>
      <c r="AB18" s="10">
        <f t="shared" si="2"/>
        <v>3.2764434369260652E-3</v>
      </c>
      <c r="AC18" s="10">
        <f t="shared" si="2"/>
        <v>2.4245681433252885E-3</v>
      </c>
      <c r="AD18" s="10"/>
      <c r="AE18" s="10"/>
    </row>
    <row r="19" spans="1:32" x14ac:dyDescent="0.2">
      <c r="A19">
        <v>17</v>
      </c>
      <c r="B19">
        <f t="shared" si="3"/>
        <v>4913</v>
      </c>
      <c r="C19">
        <f t="shared" si="4"/>
        <v>4913</v>
      </c>
      <c r="D19">
        <f t="shared" si="5"/>
        <v>17</v>
      </c>
      <c r="E19">
        <f t="shared" si="6"/>
        <v>4913</v>
      </c>
      <c r="F19">
        <f t="shared" si="7"/>
        <v>51</v>
      </c>
      <c r="G19">
        <f t="shared" si="8"/>
        <v>17</v>
      </c>
      <c r="H19" s="1">
        <f t="shared" si="9"/>
        <v>68</v>
      </c>
      <c r="I19" s="11"/>
      <c r="J19" s="11">
        <f t="shared" si="10"/>
        <v>0.78</v>
      </c>
      <c r="K19" s="10">
        <f t="shared" si="0"/>
        <v>0.60840000000000005</v>
      </c>
      <c r="L19" s="10">
        <f t="shared" ref="L19:Y22" si="12">POWER($J19,L$2)</f>
        <v>0.47455200000000003</v>
      </c>
      <c r="M19" s="10">
        <f t="shared" si="12"/>
        <v>0.37015056000000007</v>
      </c>
      <c r="N19" s="10">
        <f t="shared" si="12"/>
        <v>0.28871743680000006</v>
      </c>
      <c r="O19" s="10">
        <f t="shared" si="12"/>
        <v>0.22519960070400005</v>
      </c>
      <c r="P19" s="10">
        <f t="shared" si="12"/>
        <v>0.17565568854912006</v>
      </c>
      <c r="Q19" s="10">
        <f t="shared" si="12"/>
        <v>0.13701143706831365</v>
      </c>
      <c r="R19" s="10">
        <f t="shared" si="12"/>
        <v>0.10686892091328465</v>
      </c>
      <c r="S19" s="10">
        <f t="shared" si="12"/>
        <v>8.3357758312362029E-2</v>
      </c>
      <c r="T19" s="10">
        <f t="shared" si="12"/>
        <v>6.5019051483642384E-2</v>
      </c>
      <c r="U19" s="10">
        <f t="shared" si="12"/>
        <v>5.0714860157241061E-2</v>
      </c>
      <c r="V19" s="10">
        <f t="shared" si="12"/>
        <v>3.9557590922648031E-2</v>
      </c>
      <c r="W19" s="10">
        <f t="shared" si="12"/>
        <v>3.0854920919665466E-2</v>
      </c>
      <c r="X19" s="10">
        <f t="shared" si="12"/>
        <v>2.4066838317339065E-2</v>
      </c>
      <c r="Y19" s="10">
        <f t="shared" si="12"/>
        <v>1.877213388752447E-2</v>
      </c>
      <c r="Z19" s="10">
        <f t="shared" si="11"/>
        <v>1.4642264432269087E-2</v>
      </c>
      <c r="AA19" s="10">
        <f t="shared" si="11"/>
        <v>1.1420966257169889E-2</v>
      </c>
      <c r="AB19" s="10">
        <f t="shared" si="11"/>
        <v>8.9083536805925137E-3</v>
      </c>
      <c r="AC19" s="10">
        <f t="shared" si="11"/>
        <v>6.9485158708621608E-3</v>
      </c>
      <c r="AD19" s="10"/>
      <c r="AE19" s="10"/>
    </row>
    <row r="20" spans="1:32" x14ac:dyDescent="0.2">
      <c r="A20">
        <v>18</v>
      </c>
      <c r="B20">
        <f t="shared" si="3"/>
        <v>5832</v>
      </c>
      <c r="C20">
        <f t="shared" si="4"/>
        <v>5832</v>
      </c>
      <c r="D20">
        <f t="shared" si="5"/>
        <v>18</v>
      </c>
      <c r="E20">
        <f t="shared" si="6"/>
        <v>5832</v>
      </c>
      <c r="F20">
        <f t="shared" si="7"/>
        <v>54</v>
      </c>
      <c r="G20">
        <f t="shared" si="8"/>
        <v>18</v>
      </c>
      <c r="H20" s="1">
        <f t="shared" si="9"/>
        <v>72</v>
      </c>
      <c r="I20" s="11"/>
      <c r="J20" s="11">
        <f t="shared" si="10"/>
        <v>0.82</v>
      </c>
      <c r="K20" s="10">
        <f t="shared" si="0"/>
        <v>0.67239999999999989</v>
      </c>
      <c r="L20" s="10">
        <f t="shared" si="12"/>
        <v>0.55136799999999986</v>
      </c>
      <c r="M20" s="10">
        <f t="shared" si="12"/>
        <v>0.45212175999999987</v>
      </c>
      <c r="N20" s="10">
        <f t="shared" si="12"/>
        <v>0.37073984319999986</v>
      </c>
      <c r="O20" s="10">
        <f t="shared" si="12"/>
        <v>0.30400667142399984</v>
      </c>
      <c r="P20" s="10">
        <f t="shared" si="12"/>
        <v>0.24928547056767986</v>
      </c>
      <c r="Q20" s="10">
        <f t="shared" si="12"/>
        <v>0.20441408586549747</v>
      </c>
      <c r="R20" s="10">
        <f t="shared" si="12"/>
        <v>0.16761955040970791</v>
      </c>
      <c r="S20" s="10">
        <f t="shared" si="12"/>
        <v>0.13744803133596048</v>
      </c>
      <c r="T20" s="10">
        <f t="shared" si="12"/>
        <v>0.11270738569548758</v>
      </c>
      <c r="U20" s="10">
        <f t="shared" si="12"/>
        <v>9.2420056270299811E-2</v>
      </c>
      <c r="V20" s="10">
        <f t="shared" si="12"/>
        <v>7.5784446141645839E-2</v>
      </c>
      <c r="W20" s="10">
        <f t="shared" si="12"/>
        <v>6.214324583614958E-2</v>
      </c>
      <c r="X20" s="10">
        <f t="shared" si="12"/>
        <v>5.0957461585642655E-2</v>
      </c>
      <c r="Y20" s="10">
        <f t="shared" si="12"/>
        <v>4.1785118500226974E-2</v>
      </c>
      <c r="Z20" s="10">
        <f t="shared" si="11"/>
        <v>3.4263797170186114E-2</v>
      </c>
      <c r="AA20" s="10">
        <f t="shared" si="11"/>
        <v>2.8096313679552613E-2</v>
      </c>
      <c r="AB20" s="10">
        <f t="shared" si="11"/>
        <v>2.303897721723314E-2</v>
      </c>
      <c r="AC20" s="10">
        <f t="shared" si="11"/>
        <v>1.8891961318131173E-2</v>
      </c>
      <c r="AD20" s="10"/>
      <c r="AE20" s="10"/>
    </row>
    <row r="21" spans="1:32" x14ac:dyDescent="0.2">
      <c r="A21">
        <v>19</v>
      </c>
      <c r="B21">
        <f t="shared" si="3"/>
        <v>6859</v>
      </c>
      <c r="C21">
        <f t="shared" si="4"/>
        <v>6859</v>
      </c>
      <c r="D21">
        <f t="shared" si="5"/>
        <v>19</v>
      </c>
      <c r="E21">
        <f t="shared" si="6"/>
        <v>6859</v>
      </c>
      <c r="F21">
        <f t="shared" si="7"/>
        <v>57</v>
      </c>
      <c r="G21">
        <f t="shared" si="8"/>
        <v>19</v>
      </c>
      <c r="H21" s="1">
        <f t="shared" si="9"/>
        <v>76</v>
      </c>
      <c r="I21" s="11"/>
      <c r="J21" s="11">
        <f t="shared" si="10"/>
        <v>0.86</v>
      </c>
      <c r="K21" s="10">
        <f t="shared" si="0"/>
        <v>0.73959999999999992</v>
      </c>
      <c r="L21" s="10">
        <f t="shared" si="12"/>
        <v>0.63605599999999995</v>
      </c>
      <c r="M21" s="10">
        <f t="shared" si="12"/>
        <v>0.54700815999999985</v>
      </c>
      <c r="N21" s="10">
        <f t="shared" si="12"/>
        <v>0.47042701759999989</v>
      </c>
      <c r="O21" s="10">
        <f t="shared" si="12"/>
        <v>0.40456723513599985</v>
      </c>
      <c r="P21" s="10">
        <f t="shared" si="12"/>
        <v>0.34792782221695989</v>
      </c>
      <c r="Q21" s="10">
        <f t="shared" si="12"/>
        <v>0.29921792710658546</v>
      </c>
      <c r="R21" s="10">
        <f t="shared" si="12"/>
        <v>0.25732741731166348</v>
      </c>
      <c r="S21" s="10">
        <f t="shared" si="12"/>
        <v>0.22130157888803059</v>
      </c>
      <c r="T21" s="10">
        <f t="shared" si="12"/>
        <v>0.19031935784370629</v>
      </c>
      <c r="U21" s="10">
        <f t="shared" si="12"/>
        <v>0.1636746477455874</v>
      </c>
      <c r="V21" s="10">
        <f t="shared" si="12"/>
        <v>0.14076019706120516</v>
      </c>
      <c r="W21" s="10">
        <f t="shared" si="12"/>
        <v>0.12105376947263642</v>
      </c>
      <c r="X21" s="10">
        <f t="shared" si="12"/>
        <v>0.10410624174646733</v>
      </c>
      <c r="Y21" s="10">
        <f t="shared" si="12"/>
        <v>8.9531367901961895E-2</v>
      </c>
      <c r="Z21" s="10">
        <f t="shared" si="11"/>
        <v>7.6996976395687228E-2</v>
      </c>
      <c r="AA21" s="10">
        <f t="shared" si="11"/>
        <v>6.6217399700291016E-2</v>
      </c>
      <c r="AB21" s="10">
        <f t="shared" si="11"/>
        <v>5.6946963742250271E-2</v>
      </c>
      <c r="AC21" s="10">
        <f t="shared" si="11"/>
        <v>4.8974388818335227E-2</v>
      </c>
      <c r="AD21" s="10"/>
      <c r="AE21" s="10"/>
    </row>
    <row r="22" spans="1:32" x14ac:dyDescent="0.2">
      <c r="A22">
        <v>20</v>
      </c>
      <c r="B22">
        <f t="shared" si="3"/>
        <v>8000</v>
      </c>
      <c r="C22">
        <f t="shared" si="4"/>
        <v>8000</v>
      </c>
      <c r="D22">
        <f t="shared" si="5"/>
        <v>20</v>
      </c>
      <c r="E22">
        <f t="shared" si="6"/>
        <v>8000</v>
      </c>
      <c r="F22">
        <f t="shared" si="7"/>
        <v>60</v>
      </c>
      <c r="G22">
        <f t="shared" si="8"/>
        <v>20</v>
      </c>
      <c r="H22" s="1">
        <f t="shared" si="9"/>
        <v>80</v>
      </c>
      <c r="I22" s="11"/>
      <c r="J22" s="11">
        <f t="shared" si="10"/>
        <v>0.9</v>
      </c>
      <c r="K22" s="10">
        <f t="shared" si="0"/>
        <v>0.81</v>
      </c>
      <c r="L22" s="10">
        <f t="shared" si="12"/>
        <v>0.72900000000000009</v>
      </c>
      <c r="M22" s="10">
        <f t="shared" si="12"/>
        <v>0.65610000000000013</v>
      </c>
      <c r="N22" s="10">
        <f t="shared" si="12"/>
        <v>0.59049000000000018</v>
      </c>
      <c r="O22" s="10">
        <f t="shared" si="12"/>
        <v>0.53144100000000016</v>
      </c>
      <c r="P22" s="10">
        <f t="shared" si="12"/>
        <v>0.47829690000000014</v>
      </c>
      <c r="Q22" s="10">
        <f t="shared" si="12"/>
        <v>0.43046721000000016</v>
      </c>
      <c r="R22" s="10">
        <f t="shared" si="12"/>
        <v>0.38742048900000015</v>
      </c>
      <c r="S22" s="10">
        <f t="shared" si="12"/>
        <v>0.34867844010000015</v>
      </c>
      <c r="T22" s="10">
        <f t="shared" si="12"/>
        <v>0.31381059609000017</v>
      </c>
      <c r="U22" s="10">
        <f t="shared" si="12"/>
        <v>0.28242953648100017</v>
      </c>
      <c r="V22" s="10">
        <f t="shared" si="12"/>
        <v>0.25418658283290019</v>
      </c>
      <c r="W22" s="10">
        <f t="shared" si="12"/>
        <v>0.22876792454961015</v>
      </c>
      <c r="X22" s="10">
        <f t="shared" si="12"/>
        <v>0.20589113209464913</v>
      </c>
      <c r="Y22" s="10">
        <f t="shared" si="12"/>
        <v>0.18530201888518424</v>
      </c>
      <c r="Z22" s="10">
        <f t="shared" si="11"/>
        <v>0.16677181699666582</v>
      </c>
      <c r="AA22" s="10">
        <f t="shared" si="11"/>
        <v>0.15009463529699923</v>
      </c>
      <c r="AB22" s="10">
        <f t="shared" si="11"/>
        <v>0.13508517176729934</v>
      </c>
      <c r="AC22" s="10">
        <f t="shared" si="11"/>
        <v>0.12157665459056941</v>
      </c>
      <c r="AD22" s="10"/>
      <c r="AE22" s="10"/>
    </row>
    <row r="23" spans="1:32" x14ac:dyDescent="0.2">
      <c r="G23">
        <v>1000</v>
      </c>
    </row>
    <row r="24" spans="1:32" x14ac:dyDescent="0.2">
      <c r="I24">
        <v>0</v>
      </c>
      <c r="J24">
        <v>1</v>
      </c>
      <c r="K24">
        <v>2</v>
      </c>
      <c r="L24">
        <v>3</v>
      </c>
      <c r="M24">
        <v>4</v>
      </c>
      <c r="N24">
        <v>5</v>
      </c>
      <c r="O24">
        <v>6</v>
      </c>
      <c r="P24">
        <v>7</v>
      </c>
      <c r="Q24">
        <v>8</v>
      </c>
      <c r="R24">
        <v>9</v>
      </c>
      <c r="S24">
        <v>10</v>
      </c>
      <c r="T24">
        <v>11</v>
      </c>
      <c r="U24">
        <v>12</v>
      </c>
      <c r="V24">
        <v>13</v>
      </c>
      <c r="W24">
        <v>14</v>
      </c>
      <c r="X24">
        <v>15</v>
      </c>
      <c r="Y24">
        <v>16</v>
      </c>
      <c r="Z24">
        <v>17</v>
      </c>
      <c r="AA24">
        <v>18</v>
      </c>
      <c r="AB24">
        <v>19</v>
      </c>
      <c r="AC24">
        <v>20</v>
      </c>
    </row>
    <row r="25" spans="1:32" x14ac:dyDescent="0.2">
      <c r="H25">
        <v>1</v>
      </c>
      <c r="I25" s="1">
        <v>95</v>
      </c>
      <c r="J25" s="1">
        <v>99</v>
      </c>
      <c r="K25" s="1">
        <v>100</v>
      </c>
      <c r="L25" s="1">
        <v>100</v>
      </c>
      <c r="M25" s="1">
        <v>100</v>
      </c>
      <c r="N25" s="1">
        <v>100</v>
      </c>
      <c r="O25" s="1">
        <v>100</v>
      </c>
      <c r="P25" s="1">
        <v>100</v>
      </c>
      <c r="Q25" s="1">
        <v>100</v>
      </c>
      <c r="R25" s="1">
        <v>100</v>
      </c>
      <c r="S25" s="1">
        <v>100</v>
      </c>
      <c r="T25" s="1">
        <v>100</v>
      </c>
      <c r="U25" s="1">
        <v>100</v>
      </c>
      <c r="V25" s="1">
        <v>100</v>
      </c>
      <c r="W25" s="1">
        <v>100</v>
      </c>
      <c r="X25" s="1">
        <v>100</v>
      </c>
      <c r="Y25" s="1">
        <v>100</v>
      </c>
      <c r="Z25" s="1">
        <v>100</v>
      </c>
      <c r="AA25" s="1">
        <v>100</v>
      </c>
      <c r="AB25" s="1">
        <v>100</v>
      </c>
      <c r="AC25" s="1">
        <v>100</v>
      </c>
    </row>
    <row r="26" spans="1:32" x14ac:dyDescent="0.2">
      <c r="H26">
        <v>2</v>
      </c>
      <c r="I26" s="1">
        <v>91</v>
      </c>
      <c r="J26" s="1">
        <v>99</v>
      </c>
      <c r="K26" s="1">
        <v>99</v>
      </c>
      <c r="L26" s="1">
        <v>100</v>
      </c>
      <c r="M26" s="1">
        <v>100</v>
      </c>
      <c r="N26" s="1">
        <v>100</v>
      </c>
      <c r="O26" s="1">
        <v>100</v>
      </c>
      <c r="P26" s="1">
        <v>100</v>
      </c>
      <c r="Q26" s="1">
        <v>100</v>
      </c>
      <c r="R26" s="1">
        <v>100</v>
      </c>
      <c r="S26" s="1">
        <v>100</v>
      </c>
      <c r="T26" s="1">
        <v>100</v>
      </c>
      <c r="U26" s="1">
        <v>100</v>
      </c>
      <c r="V26" s="1">
        <v>100</v>
      </c>
      <c r="W26" s="1">
        <v>100</v>
      </c>
      <c r="X26" s="1">
        <v>100</v>
      </c>
      <c r="Y26" s="1">
        <v>100</v>
      </c>
      <c r="Z26" s="1">
        <v>100</v>
      </c>
      <c r="AA26" s="1">
        <v>100</v>
      </c>
      <c r="AB26" s="1">
        <v>100</v>
      </c>
      <c r="AC26" s="1">
        <v>100</v>
      </c>
    </row>
    <row r="27" spans="1:32" x14ac:dyDescent="0.2">
      <c r="H27">
        <v>3</v>
      </c>
      <c r="I27" s="1">
        <v>88</v>
      </c>
      <c r="J27" s="1">
        <v>98</v>
      </c>
      <c r="K27" s="1">
        <v>99</v>
      </c>
      <c r="L27" s="1">
        <v>99</v>
      </c>
      <c r="M27" s="1">
        <v>100</v>
      </c>
      <c r="N27" s="1">
        <v>100</v>
      </c>
      <c r="O27" s="1">
        <v>100</v>
      </c>
      <c r="P27" s="1">
        <v>100</v>
      </c>
      <c r="Q27" s="1">
        <v>100</v>
      </c>
      <c r="R27" s="1">
        <v>100</v>
      </c>
      <c r="S27" s="1">
        <v>100</v>
      </c>
      <c r="T27" s="1">
        <v>100</v>
      </c>
      <c r="U27" s="1">
        <v>100</v>
      </c>
      <c r="V27" s="1">
        <v>100</v>
      </c>
      <c r="W27" s="1">
        <v>100</v>
      </c>
      <c r="X27" s="1">
        <v>100</v>
      </c>
      <c r="Y27" s="1">
        <v>100</v>
      </c>
      <c r="Z27" s="1">
        <v>100</v>
      </c>
      <c r="AA27" s="1">
        <v>100</v>
      </c>
      <c r="AB27" s="1">
        <v>100</v>
      </c>
      <c r="AC27" s="1">
        <v>100</v>
      </c>
    </row>
    <row r="28" spans="1:32" x14ac:dyDescent="0.2">
      <c r="H28">
        <v>4</v>
      </c>
      <c r="I28" s="1">
        <v>83</v>
      </c>
      <c r="J28" s="1">
        <v>97</v>
      </c>
      <c r="K28" s="1">
        <v>99</v>
      </c>
      <c r="L28" s="1">
        <v>99</v>
      </c>
      <c r="M28" s="1">
        <v>99</v>
      </c>
      <c r="N28" s="1">
        <v>100</v>
      </c>
      <c r="O28" s="1">
        <v>100</v>
      </c>
      <c r="P28" s="1">
        <v>100</v>
      </c>
      <c r="Q28" s="1">
        <v>100</v>
      </c>
      <c r="R28" s="1">
        <v>100</v>
      </c>
      <c r="S28" s="1">
        <v>100</v>
      </c>
      <c r="T28" s="1">
        <v>100</v>
      </c>
      <c r="U28" s="1">
        <v>100</v>
      </c>
      <c r="V28" s="1">
        <v>100</v>
      </c>
      <c r="W28" s="1">
        <v>100</v>
      </c>
      <c r="X28" s="1">
        <v>100</v>
      </c>
      <c r="Y28" s="1">
        <v>100</v>
      </c>
      <c r="Z28" s="1">
        <v>100</v>
      </c>
      <c r="AA28" s="1">
        <v>100</v>
      </c>
      <c r="AB28" s="1">
        <v>100</v>
      </c>
      <c r="AC28" s="1">
        <v>100</v>
      </c>
      <c r="AF28" s="10"/>
    </row>
    <row r="29" spans="1:32" x14ac:dyDescent="0.2">
      <c r="H29">
        <v>5</v>
      </c>
      <c r="I29" s="1">
        <v>79</v>
      </c>
      <c r="J29" s="1">
        <v>95</v>
      </c>
      <c r="K29" s="1">
        <v>99</v>
      </c>
      <c r="L29" s="1">
        <v>99</v>
      </c>
      <c r="M29" s="1">
        <v>99</v>
      </c>
      <c r="N29" s="1">
        <v>99</v>
      </c>
      <c r="O29" s="1">
        <v>100</v>
      </c>
      <c r="P29" s="1">
        <v>100</v>
      </c>
      <c r="Q29" s="1">
        <v>100</v>
      </c>
      <c r="R29" s="1">
        <v>100</v>
      </c>
      <c r="S29" s="1">
        <v>100</v>
      </c>
      <c r="T29" s="1">
        <v>100</v>
      </c>
      <c r="U29" s="1">
        <v>100</v>
      </c>
      <c r="V29" s="1">
        <v>100</v>
      </c>
      <c r="W29" s="1">
        <v>100</v>
      </c>
      <c r="X29" s="1">
        <v>100</v>
      </c>
      <c r="Y29" s="1">
        <v>100</v>
      </c>
      <c r="Z29" s="1">
        <v>100</v>
      </c>
      <c r="AA29" s="1">
        <v>100</v>
      </c>
      <c r="AB29" s="1">
        <v>100</v>
      </c>
      <c r="AC29" s="1">
        <v>100</v>
      </c>
      <c r="AF29" s="10"/>
    </row>
    <row r="30" spans="1:32" x14ac:dyDescent="0.2">
      <c r="H30">
        <v>6</v>
      </c>
      <c r="I30" s="1">
        <v>76</v>
      </c>
      <c r="J30" s="1">
        <v>94</v>
      </c>
      <c r="K30" s="1">
        <v>98</v>
      </c>
      <c r="L30" s="1">
        <v>99</v>
      </c>
      <c r="M30" s="1">
        <v>99</v>
      </c>
      <c r="N30" s="1">
        <v>99</v>
      </c>
      <c r="O30" s="1">
        <v>99</v>
      </c>
      <c r="P30" s="1">
        <v>100</v>
      </c>
      <c r="Q30" s="1">
        <v>100</v>
      </c>
      <c r="R30" s="1">
        <v>100</v>
      </c>
      <c r="S30" s="1">
        <v>100</v>
      </c>
      <c r="T30" s="1">
        <v>100</v>
      </c>
      <c r="U30" s="1">
        <v>100</v>
      </c>
      <c r="V30" s="1">
        <v>100</v>
      </c>
      <c r="W30" s="1">
        <v>100</v>
      </c>
      <c r="X30" s="1">
        <v>100</v>
      </c>
      <c r="Y30" s="1">
        <v>100</v>
      </c>
      <c r="Z30" s="1">
        <v>100</v>
      </c>
      <c r="AA30" s="1">
        <v>100</v>
      </c>
      <c r="AB30" s="1">
        <v>100</v>
      </c>
      <c r="AC30" s="1">
        <v>100</v>
      </c>
      <c r="AF30" s="10"/>
    </row>
    <row r="31" spans="1:32" x14ac:dyDescent="0.2">
      <c r="H31">
        <v>7</v>
      </c>
      <c r="I31" s="1">
        <v>71</v>
      </c>
      <c r="J31" s="1">
        <v>92</v>
      </c>
      <c r="K31" s="1">
        <v>97</v>
      </c>
      <c r="L31" s="1">
        <v>99</v>
      </c>
      <c r="M31" s="1">
        <v>99</v>
      </c>
      <c r="N31" s="1">
        <v>99</v>
      </c>
      <c r="O31" s="1">
        <v>99</v>
      </c>
      <c r="P31" s="1">
        <v>99</v>
      </c>
      <c r="Q31" s="1">
        <v>100</v>
      </c>
      <c r="R31" s="1">
        <v>100</v>
      </c>
      <c r="S31" s="1">
        <v>100</v>
      </c>
      <c r="T31" s="1">
        <v>100</v>
      </c>
      <c r="U31" s="1">
        <v>100</v>
      </c>
      <c r="V31" s="1">
        <v>100</v>
      </c>
      <c r="W31" s="1">
        <v>100</v>
      </c>
      <c r="X31" s="1">
        <v>100</v>
      </c>
      <c r="Y31" s="1">
        <v>100</v>
      </c>
      <c r="Z31" s="1">
        <v>100</v>
      </c>
      <c r="AA31" s="1">
        <v>100</v>
      </c>
      <c r="AB31" s="1">
        <v>100</v>
      </c>
      <c r="AC31" s="1">
        <v>100</v>
      </c>
      <c r="AF31" s="10"/>
    </row>
    <row r="32" spans="1:32" x14ac:dyDescent="0.2">
      <c r="H32">
        <v>8</v>
      </c>
      <c r="I32" s="1">
        <v>67</v>
      </c>
      <c r="J32" s="1">
        <v>89</v>
      </c>
      <c r="K32" s="1">
        <v>96</v>
      </c>
      <c r="L32" s="1">
        <v>98</v>
      </c>
      <c r="M32" s="1">
        <v>99</v>
      </c>
      <c r="N32" s="1">
        <v>99</v>
      </c>
      <c r="O32" s="1">
        <v>99</v>
      </c>
      <c r="P32" s="1">
        <v>99</v>
      </c>
      <c r="Q32" s="1">
        <v>99</v>
      </c>
      <c r="R32" s="1">
        <v>100</v>
      </c>
      <c r="S32" s="1">
        <v>100</v>
      </c>
      <c r="T32" s="1">
        <v>100</v>
      </c>
      <c r="U32" s="1">
        <v>100</v>
      </c>
      <c r="V32" s="1">
        <v>100</v>
      </c>
      <c r="W32" s="1">
        <v>100</v>
      </c>
      <c r="X32" s="1">
        <v>100</v>
      </c>
      <c r="Y32" s="1">
        <v>100</v>
      </c>
      <c r="Z32" s="1">
        <v>100</v>
      </c>
      <c r="AA32" s="1">
        <v>100</v>
      </c>
      <c r="AB32" s="1">
        <v>100</v>
      </c>
      <c r="AC32" s="1">
        <v>100</v>
      </c>
      <c r="AF32" s="10"/>
    </row>
    <row r="33" spans="8:32" x14ac:dyDescent="0.2">
      <c r="H33">
        <v>9</v>
      </c>
      <c r="I33" s="1">
        <v>63</v>
      </c>
      <c r="J33" s="1">
        <v>87</v>
      </c>
      <c r="K33" s="1">
        <v>95</v>
      </c>
      <c r="L33" s="1">
        <v>98</v>
      </c>
      <c r="M33" s="1">
        <v>99</v>
      </c>
      <c r="N33" s="1">
        <v>99</v>
      </c>
      <c r="O33" s="1">
        <v>99</v>
      </c>
      <c r="P33" s="1">
        <v>99</v>
      </c>
      <c r="Q33" s="1">
        <v>99</v>
      </c>
      <c r="R33" s="1">
        <v>99</v>
      </c>
      <c r="S33" s="1">
        <v>100</v>
      </c>
      <c r="T33" s="1">
        <v>100</v>
      </c>
      <c r="U33" s="1">
        <v>100</v>
      </c>
      <c r="V33" s="1">
        <v>100</v>
      </c>
      <c r="W33" s="1">
        <v>100</v>
      </c>
      <c r="X33" s="1">
        <v>100</v>
      </c>
      <c r="Y33" s="1">
        <v>100</v>
      </c>
      <c r="Z33" s="1">
        <v>100</v>
      </c>
      <c r="AA33" s="1">
        <v>100</v>
      </c>
      <c r="AB33" s="1">
        <v>100</v>
      </c>
      <c r="AC33" s="1">
        <v>100</v>
      </c>
      <c r="AF33" s="10"/>
    </row>
    <row r="34" spans="8:32" x14ac:dyDescent="0.2">
      <c r="H34">
        <v>10</v>
      </c>
      <c r="I34" s="1">
        <v>59</v>
      </c>
      <c r="J34" s="1">
        <v>83</v>
      </c>
      <c r="K34" s="1">
        <v>93</v>
      </c>
      <c r="L34" s="1">
        <v>97</v>
      </c>
      <c r="M34" s="1">
        <v>98</v>
      </c>
      <c r="N34" s="1">
        <v>99</v>
      </c>
      <c r="O34" s="1">
        <v>99</v>
      </c>
      <c r="P34" s="1">
        <v>99</v>
      </c>
      <c r="Q34" s="1">
        <v>99</v>
      </c>
      <c r="R34" s="1">
        <v>99</v>
      </c>
      <c r="S34" s="1">
        <v>99</v>
      </c>
      <c r="T34" s="1">
        <v>100</v>
      </c>
      <c r="U34" s="1">
        <v>100</v>
      </c>
      <c r="V34" s="1">
        <v>100</v>
      </c>
      <c r="W34" s="1">
        <v>100</v>
      </c>
      <c r="X34" s="1">
        <v>100</v>
      </c>
      <c r="Y34" s="1">
        <v>100</v>
      </c>
      <c r="Z34" s="1">
        <v>100</v>
      </c>
      <c r="AA34" s="1">
        <v>100</v>
      </c>
      <c r="AB34" s="1">
        <v>100</v>
      </c>
      <c r="AC34" s="1">
        <v>100</v>
      </c>
      <c r="AF34" s="10"/>
    </row>
    <row r="35" spans="8:32" x14ac:dyDescent="0.2">
      <c r="H35">
        <v>11</v>
      </c>
      <c r="I35" s="1">
        <v>55</v>
      </c>
      <c r="J35" s="1">
        <v>80</v>
      </c>
      <c r="K35" s="1">
        <v>91</v>
      </c>
      <c r="L35" s="1">
        <v>96</v>
      </c>
      <c r="M35" s="1">
        <v>98</v>
      </c>
      <c r="N35" s="1">
        <v>99</v>
      </c>
      <c r="O35" s="1">
        <v>99</v>
      </c>
      <c r="P35" s="1">
        <v>99</v>
      </c>
      <c r="Q35" s="1">
        <v>99</v>
      </c>
      <c r="R35" s="1">
        <v>99</v>
      </c>
      <c r="S35" s="1">
        <v>99</v>
      </c>
      <c r="T35" s="1">
        <v>99</v>
      </c>
      <c r="U35" s="1">
        <v>100</v>
      </c>
      <c r="V35" s="1">
        <v>100</v>
      </c>
      <c r="W35" s="1">
        <v>100</v>
      </c>
      <c r="X35" s="1">
        <v>100</v>
      </c>
      <c r="Y35" s="1">
        <v>100</v>
      </c>
      <c r="Z35" s="1">
        <v>100</v>
      </c>
      <c r="AA35" s="1">
        <v>100</v>
      </c>
      <c r="AB35" s="1">
        <v>100</v>
      </c>
      <c r="AC35" s="1">
        <v>100</v>
      </c>
      <c r="AF35" s="10"/>
    </row>
    <row r="36" spans="8:32" x14ac:dyDescent="0.2">
      <c r="H36">
        <v>12</v>
      </c>
      <c r="I36" s="1">
        <v>51</v>
      </c>
      <c r="J36" s="1">
        <v>76</v>
      </c>
      <c r="K36" s="1">
        <v>88</v>
      </c>
      <c r="L36" s="1">
        <v>94</v>
      </c>
      <c r="M36" s="1">
        <v>97</v>
      </c>
      <c r="N36" s="1">
        <v>98</v>
      </c>
      <c r="O36" s="1">
        <v>99</v>
      </c>
      <c r="P36" s="1">
        <v>99</v>
      </c>
      <c r="Q36" s="1">
        <v>99</v>
      </c>
      <c r="R36" s="1">
        <v>99</v>
      </c>
      <c r="S36" s="1">
        <v>99</v>
      </c>
      <c r="T36" s="1">
        <v>99</v>
      </c>
      <c r="U36" s="1">
        <v>99</v>
      </c>
      <c r="V36" s="1">
        <v>100</v>
      </c>
      <c r="W36" s="1">
        <v>100</v>
      </c>
      <c r="X36" s="1">
        <v>100</v>
      </c>
      <c r="Y36" s="1">
        <v>100</v>
      </c>
      <c r="Z36" s="1">
        <v>100</v>
      </c>
      <c r="AA36" s="1">
        <v>100</v>
      </c>
      <c r="AB36" s="1">
        <v>100</v>
      </c>
      <c r="AC36" s="1">
        <v>100</v>
      </c>
      <c r="AF36" s="10"/>
    </row>
    <row r="37" spans="8:32" x14ac:dyDescent="0.2">
      <c r="H37">
        <v>13</v>
      </c>
      <c r="I37" s="1">
        <v>47</v>
      </c>
      <c r="J37" s="1">
        <v>72</v>
      </c>
      <c r="K37" s="1">
        <v>85</v>
      </c>
      <c r="L37" s="1">
        <v>92</v>
      </c>
      <c r="M37" s="1">
        <v>96</v>
      </c>
      <c r="N37" s="1">
        <v>98</v>
      </c>
      <c r="O37" s="1">
        <v>98</v>
      </c>
      <c r="P37" s="1">
        <v>99</v>
      </c>
      <c r="Q37" s="1">
        <v>99</v>
      </c>
      <c r="R37" s="1">
        <v>99</v>
      </c>
      <c r="S37" s="1">
        <v>99</v>
      </c>
      <c r="T37" s="1">
        <v>99</v>
      </c>
      <c r="U37" s="1">
        <v>99</v>
      </c>
      <c r="V37" s="1">
        <v>99</v>
      </c>
      <c r="W37" s="1">
        <v>100</v>
      </c>
      <c r="X37" s="1">
        <v>100</v>
      </c>
      <c r="Y37" s="1">
        <v>100</v>
      </c>
      <c r="Z37" s="1">
        <v>100</v>
      </c>
      <c r="AA37" s="1">
        <v>100</v>
      </c>
      <c r="AB37" s="1">
        <v>100</v>
      </c>
      <c r="AC37" s="1">
        <v>100</v>
      </c>
      <c r="AF37" s="10"/>
    </row>
    <row r="38" spans="8:32" x14ac:dyDescent="0.2">
      <c r="H38">
        <v>14</v>
      </c>
      <c r="I38" s="1">
        <v>43</v>
      </c>
      <c r="J38" s="1">
        <v>68</v>
      </c>
      <c r="K38" s="1">
        <v>82</v>
      </c>
      <c r="L38" s="1">
        <v>90</v>
      </c>
      <c r="M38" s="1">
        <v>94</v>
      </c>
      <c r="N38" s="1">
        <v>96</v>
      </c>
      <c r="O38" s="1">
        <v>98</v>
      </c>
      <c r="P38" s="1">
        <v>99</v>
      </c>
      <c r="Q38" s="1">
        <v>99</v>
      </c>
      <c r="R38" s="1">
        <v>99</v>
      </c>
      <c r="S38" s="1">
        <v>99</v>
      </c>
      <c r="T38" s="1">
        <v>99</v>
      </c>
      <c r="U38" s="1">
        <v>99</v>
      </c>
      <c r="V38" s="1">
        <v>99</v>
      </c>
      <c r="W38" s="1">
        <v>99</v>
      </c>
      <c r="X38" s="1">
        <v>100</v>
      </c>
      <c r="Y38" s="1">
        <v>100</v>
      </c>
      <c r="Z38" s="1">
        <v>100</v>
      </c>
      <c r="AA38" s="1">
        <v>100</v>
      </c>
      <c r="AB38" s="1">
        <v>100</v>
      </c>
      <c r="AC38" s="1">
        <v>100</v>
      </c>
      <c r="AF38" s="10"/>
    </row>
    <row r="39" spans="8:32" x14ac:dyDescent="0.2">
      <c r="H39">
        <v>15</v>
      </c>
      <c r="I39" s="1">
        <v>39</v>
      </c>
      <c r="J39" s="1">
        <v>63</v>
      </c>
      <c r="K39" s="1">
        <v>78</v>
      </c>
      <c r="L39" s="1">
        <v>87</v>
      </c>
      <c r="M39" s="1">
        <v>92</v>
      </c>
      <c r="N39" s="1">
        <v>95</v>
      </c>
      <c r="O39" s="1">
        <v>97</v>
      </c>
      <c r="P39" s="1">
        <v>98</v>
      </c>
      <c r="Q39" s="1">
        <v>98</v>
      </c>
      <c r="R39" s="1">
        <v>99</v>
      </c>
      <c r="S39" s="1">
        <v>99</v>
      </c>
      <c r="T39" s="1">
        <v>99</v>
      </c>
      <c r="U39" s="1">
        <v>99</v>
      </c>
      <c r="V39" s="1">
        <v>99</v>
      </c>
      <c r="W39" s="1">
        <v>99</v>
      </c>
      <c r="X39" s="1">
        <v>99</v>
      </c>
      <c r="Y39" s="1">
        <v>100</v>
      </c>
      <c r="Z39" s="1">
        <v>100</v>
      </c>
      <c r="AA39" s="1">
        <v>100</v>
      </c>
      <c r="AB39" s="1">
        <v>100</v>
      </c>
      <c r="AC39" s="1">
        <v>100</v>
      </c>
      <c r="AF39" s="10"/>
    </row>
    <row r="40" spans="8:32" x14ac:dyDescent="0.2">
      <c r="H40">
        <v>16</v>
      </c>
      <c r="I40" s="1">
        <v>36</v>
      </c>
      <c r="J40" s="1">
        <v>59</v>
      </c>
      <c r="K40" s="1">
        <v>73</v>
      </c>
      <c r="L40" s="1">
        <v>83</v>
      </c>
      <c r="M40" s="1">
        <v>89</v>
      </c>
      <c r="N40" s="1">
        <v>93</v>
      </c>
      <c r="O40" s="1">
        <v>95</v>
      </c>
      <c r="P40" s="1">
        <v>97</v>
      </c>
      <c r="Q40" s="1">
        <v>98</v>
      </c>
      <c r="R40" s="1">
        <v>98</v>
      </c>
      <c r="S40" s="1">
        <v>99</v>
      </c>
      <c r="T40" s="1">
        <v>99</v>
      </c>
      <c r="U40" s="1">
        <v>99</v>
      </c>
      <c r="V40" s="1">
        <v>99</v>
      </c>
      <c r="W40" s="1">
        <v>99</v>
      </c>
      <c r="X40" s="1">
        <v>99</v>
      </c>
      <c r="Y40" s="1">
        <v>99</v>
      </c>
      <c r="Z40" s="1">
        <v>100</v>
      </c>
      <c r="AA40" s="1">
        <v>100</v>
      </c>
      <c r="AB40" s="1">
        <v>100</v>
      </c>
      <c r="AC40" s="1">
        <v>100</v>
      </c>
      <c r="AF40" s="10"/>
    </row>
    <row r="41" spans="8:32" x14ac:dyDescent="0.2">
      <c r="H41">
        <v>17</v>
      </c>
      <c r="I41" s="1">
        <v>31</v>
      </c>
      <c r="J41" s="1">
        <v>53</v>
      </c>
      <c r="K41" s="1">
        <v>68</v>
      </c>
      <c r="L41" s="1">
        <v>78</v>
      </c>
      <c r="M41" s="1">
        <v>85</v>
      </c>
      <c r="N41" s="1">
        <v>90</v>
      </c>
      <c r="O41" s="1">
        <v>93</v>
      </c>
      <c r="P41" s="1">
        <v>95</v>
      </c>
      <c r="Q41" s="1">
        <v>96</v>
      </c>
      <c r="R41" s="1">
        <v>97</v>
      </c>
      <c r="S41" s="1">
        <v>98</v>
      </c>
      <c r="T41" s="1">
        <v>99</v>
      </c>
      <c r="U41" s="1">
        <v>99</v>
      </c>
      <c r="V41" s="1">
        <v>99</v>
      </c>
      <c r="W41" s="1">
        <v>99</v>
      </c>
      <c r="X41" s="1">
        <v>99</v>
      </c>
      <c r="Y41" s="1">
        <v>99</v>
      </c>
      <c r="Z41" s="1">
        <v>99</v>
      </c>
      <c r="AA41" s="1">
        <v>100</v>
      </c>
      <c r="AB41" s="1">
        <v>100</v>
      </c>
      <c r="AC41" s="1">
        <v>100</v>
      </c>
      <c r="AF41" s="10"/>
    </row>
    <row r="42" spans="8:32" x14ac:dyDescent="0.2">
      <c r="H42">
        <v>18</v>
      </c>
      <c r="I42" s="1">
        <v>27</v>
      </c>
      <c r="J42" s="1">
        <v>48</v>
      </c>
      <c r="K42" s="1">
        <v>62</v>
      </c>
      <c r="L42" s="1">
        <v>73</v>
      </c>
      <c r="M42" s="1">
        <v>80</v>
      </c>
      <c r="N42" s="1">
        <v>86</v>
      </c>
      <c r="O42" s="1">
        <v>89</v>
      </c>
      <c r="P42" s="1">
        <v>92</v>
      </c>
      <c r="Q42" s="1">
        <v>94</v>
      </c>
      <c r="R42" s="1">
        <v>96</v>
      </c>
      <c r="S42" s="1">
        <v>97</v>
      </c>
      <c r="T42" s="1">
        <v>98</v>
      </c>
      <c r="U42" s="1">
        <v>98</v>
      </c>
      <c r="V42" s="1">
        <v>98</v>
      </c>
      <c r="W42" s="1">
        <v>99</v>
      </c>
      <c r="X42" s="1">
        <v>99</v>
      </c>
      <c r="Y42" s="1">
        <v>99</v>
      </c>
      <c r="Z42" s="1">
        <v>99</v>
      </c>
      <c r="AA42" s="1">
        <v>99</v>
      </c>
      <c r="AB42" s="1">
        <v>100</v>
      </c>
      <c r="AC42" s="1">
        <v>100</v>
      </c>
      <c r="AF42" s="10"/>
    </row>
    <row r="43" spans="8:32" x14ac:dyDescent="0.2">
      <c r="H43">
        <v>19</v>
      </c>
      <c r="I43" s="1">
        <v>23</v>
      </c>
      <c r="J43" s="1">
        <v>42</v>
      </c>
      <c r="K43" s="1">
        <v>56</v>
      </c>
      <c r="L43" s="1">
        <v>66</v>
      </c>
      <c r="M43" s="1">
        <v>74</v>
      </c>
      <c r="N43" s="1">
        <v>80</v>
      </c>
      <c r="O43" s="1">
        <v>85</v>
      </c>
      <c r="P43" s="1">
        <v>88</v>
      </c>
      <c r="Q43" s="1">
        <v>91</v>
      </c>
      <c r="R43" s="1">
        <v>93</v>
      </c>
      <c r="S43" s="1">
        <v>95</v>
      </c>
      <c r="T43" s="1">
        <v>96</v>
      </c>
      <c r="U43" s="1">
        <v>97</v>
      </c>
      <c r="V43" s="1">
        <v>98</v>
      </c>
      <c r="W43" s="1">
        <v>98</v>
      </c>
      <c r="X43" s="1">
        <v>98</v>
      </c>
      <c r="Y43" s="1">
        <v>99</v>
      </c>
      <c r="Z43" s="1">
        <v>99</v>
      </c>
      <c r="AA43" s="1">
        <v>99</v>
      </c>
      <c r="AB43" s="1">
        <v>99</v>
      </c>
      <c r="AC43" s="1">
        <v>100</v>
      </c>
      <c r="AF43" s="10"/>
    </row>
    <row r="44" spans="8:32" x14ac:dyDescent="0.2">
      <c r="H44">
        <v>20</v>
      </c>
      <c r="I44" s="1">
        <v>19</v>
      </c>
      <c r="J44" s="1">
        <v>35</v>
      </c>
      <c r="K44" s="1">
        <v>48</v>
      </c>
      <c r="L44" s="1">
        <v>59</v>
      </c>
      <c r="M44" s="1">
        <v>67</v>
      </c>
      <c r="N44" s="1">
        <v>73</v>
      </c>
      <c r="O44" s="1">
        <v>79</v>
      </c>
      <c r="P44" s="1">
        <v>83</v>
      </c>
      <c r="Q44" s="1">
        <v>86</v>
      </c>
      <c r="R44" s="1">
        <v>89</v>
      </c>
      <c r="S44" s="1">
        <v>91</v>
      </c>
      <c r="T44" s="1">
        <v>93</v>
      </c>
      <c r="U44" s="1">
        <v>94</v>
      </c>
      <c r="V44" s="1">
        <v>95</v>
      </c>
      <c r="W44" s="1">
        <v>96</v>
      </c>
      <c r="X44" s="1">
        <v>97</v>
      </c>
      <c r="Y44" s="1">
        <v>98</v>
      </c>
      <c r="Z44" s="1">
        <v>98</v>
      </c>
      <c r="AA44" s="1">
        <v>98</v>
      </c>
      <c r="AB44" s="1">
        <v>98</v>
      </c>
      <c r="AC44" s="1">
        <v>99</v>
      </c>
      <c r="AF44" s="10"/>
    </row>
    <row r="45" spans="8:32" x14ac:dyDescent="0.2">
      <c r="L45" s="10"/>
      <c r="M45" s="10"/>
      <c r="N45" s="10"/>
      <c r="O45" s="10"/>
      <c r="P45" s="10"/>
      <c r="Q45" s="10"/>
      <c r="R45" s="10"/>
      <c r="S45" s="10"/>
      <c r="T45" s="10"/>
      <c r="U45" s="10"/>
      <c r="V45" s="10"/>
      <c r="W45" s="10"/>
      <c r="X45" s="10"/>
      <c r="Y45" s="10"/>
      <c r="Z45" s="10"/>
      <c r="AA45" s="10"/>
      <c r="AB45" s="10"/>
      <c r="AC45" s="10"/>
      <c r="AD45" s="10"/>
      <c r="AE45" s="10"/>
      <c r="AF45" s="10"/>
    </row>
    <row r="46" spans="8:32" x14ac:dyDescent="0.2">
      <c r="L46" s="10"/>
      <c r="M46" s="10"/>
      <c r="N46" s="10"/>
      <c r="O46" s="10"/>
      <c r="P46" s="10"/>
      <c r="Q46" s="10"/>
      <c r="R46" s="10"/>
      <c r="S46" s="10"/>
      <c r="T46" s="10"/>
      <c r="U46" s="10"/>
      <c r="V46" s="10"/>
      <c r="W46" s="10"/>
      <c r="X46" s="10"/>
      <c r="Y46" s="10"/>
      <c r="Z46" s="10"/>
      <c r="AA46" s="10"/>
      <c r="AB46" s="10"/>
      <c r="AC46" s="10"/>
      <c r="AD46" s="10"/>
      <c r="AE46" s="10"/>
      <c r="AF46" s="10"/>
    </row>
    <row r="47" spans="8:32" x14ac:dyDescent="0.2">
      <c r="L47" s="10"/>
      <c r="M47" s="10"/>
      <c r="N47" s="10"/>
      <c r="O47" s="10"/>
      <c r="P47" s="10"/>
      <c r="Q47" s="10"/>
      <c r="R47" s="10"/>
      <c r="S47" s="10"/>
      <c r="T47" s="10"/>
      <c r="U47" s="10"/>
      <c r="V47" s="10"/>
      <c r="W47" s="10"/>
      <c r="X47" s="10"/>
      <c r="Y47" s="10"/>
      <c r="Z47" s="10"/>
      <c r="AA47" s="10"/>
      <c r="AB47" s="10"/>
      <c r="AC47" s="10"/>
      <c r="AD47" s="10"/>
      <c r="AE47" s="10"/>
      <c r="AF47" s="10"/>
    </row>
    <row r="48" spans="8:32" x14ac:dyDescent="0.2">
      <c r="M48" s="10"/>
      <c r="N48" s="10"/>
      <c r="O48" s="10"/>
      <c r="P48" s="10"/>
      <c r="Q48" s="10"/>
      <c r="R48" s="10"/>
      <c r="S48" s="10"/>
      <c r="T48" s="10"/>
      <c r="U48" s="10"/>
      <c r="V48" s="10"/>
      <c r="W48" s="10"/>
      <c r="X48" s="10"/>
      <c r="Y48" s="10"/>
      <c r="Z48" s="10"/>
      <c r="AA48" s="10"/>
      <c r="AB48" s="10"/>
      <c r="AC48" s="10"/>
      <c r="AD48" s="10"/>
      <c r="AE48" s="10"/>
    </row>
    <row r="49" spans="13:31" x14ac:dyDescent="0.2">
      <c r="M49" s="10"/>
      <c r="N49" s="10"/>
      <c r="O49" s="10"/>
      <c r="P49" s="10"/>
      <c r="Q49" s="10"/>
      <c r="R49" s="10"/>
      <c r="S49" s="10"/>
      <c r="T49" s="10"/>
      <c r="U49" s="10"/>
      <c r="V49" s="10"/>
      <c r="W49" s="10"/>
      <c r="X49" s="10"/>
      <c r="Y49" s="10"/>
      <c r="Z49" s="10"/>
      <c r="AA49" s="10"/>
      <c r="AB49" s="10"/>
      <c r="AC49" s="10"/>
      <c r="AD49" s="10"/>
      <c r="AE49" s="10"/>
    </row>
    <row r="50" spans="13:31" x14ac:dyDescent="0.2">
      <c r="M50" s="10"/>
      <c r="N50" s="10"/>
      <c r="O50" s="10"/>
      <c r="P50" s="10"/>
      <c r="Q50" s="10"/>
      <c r="R50" s="10"/>
      <c r="S50" s="10"/>
      <c r="T50" s="10"/>
      <c r="U50" s="10"/>
      <c r="V50" s="10"/>
      <c r="W50" s="10"/>
      <c r="X50" s="10"/>
      <c r="Y50" s="10"/>
      <c r="Z50" s="10"/>
      <c r="AA50" s="10"/>
      <c r="AB50" s="10"/>
      <c r="AC50" s="10"/>
      <c r="AD50" s="10"/>
      <c r="AE50" s="10"/>
    </row>
    <row r="51" spans="13:31" x14ac:dyDescent="0.2">
      <c r="M51" s="10"/>
      <c r="N51" s="10"/>
      <c r="O51" s="10"/>
      <c r="P51" s="10"/>
      <c r="Q51" s="10"/>
      <c r="R51" s="10"/>
      <c r="S51" s="10"/>
      <c r="T51" s="10"/>
      <c r="U51" s="10"/>
      <c r="V51" s="10"/>
      <c r="W51" s="10"/>
      <c r="X51" s="10"/>
      <c r="Y51" s="10"/>
      <c r="Z51" s="10"/>
      <c r="AA51" s="10"/>
      <c r="AB51" s="10"/>
      <c r="AC51" s="10"/>
      <c r="AD51" s="10"/>
      <c r="AE51" s="10"/>
    </row>
    <row r="52" spans="13:31" x14ac:dyDescent="0.2">
      <c r="M52" s="10"/>
      <c r="N52" s="10"/>
      <c r="O52" s="10"/>
      <c r="P52" s="10"/>
      <c r="Q52" s="10"/>
      <c r="R52" s="10"/>
      <c r="S52" s="10"/>
      <c r="T52" s="10"/>
      <c r="U52" s="10"/>
      <c r="V52" s="10"/>
      <c r="W52" s="10"/>
      <c r="X52" s="10"/>
      <c r="Y52" s="10"/>
      <c r="Z52" s="10"/>
      <c r="AA52" s="10"/>
      <c r="AB52" s="10"/>
      <c r="AC52" s="10"/>
      <c r="AD52" s="10"/>
      <c r="AE52" s="10"/>
    </row>
    <row r="53" spans="13:31" x14ac:dyDescent="0.2">
      <c r="M53" s="10"/>
      <c r="N53" s="10"/>
      <c r="O53" s="10"/>
      <c r="P53" s="10"/>
      <c r="Q53" s="10"/>
      <c r="R53" s="10"/>
      <c r="S53" s="10"/>
      <c r="T53" s="10"/>
      <c r="U53" s="10"/>
      <c r="V53" s="10"/>
      <c r="W53" s="10"/>
      <c r="X53" s="10"/>
      <c r="Y53" s="10"/>
      <c r="Z53" s="10"/>
      <c r="AA53" s="10"/>
      <c r="AB53" s="10"/>
      <c r="AC53" s="10"/>
      <c r="AD53" s="10"/>
      <c r="AE53" s="10"/>
    </row>
    <row r="54" spans="13:31" x14ac:dyDescent="0.2">
      <c r="M54" s="10"/>
      <c r="N54" s="10"/>
      <c r="O54" s="10"/>
      <c r="P54" s="10"/>
      <c r="Q54" s="10"/>
      <c r="R54" s="10"/>
      <c r="S54" s="10"/>
      <c r="T54" s="10"/>
      <c r="U54" s="10"/>
      <c r="V54" s="10"/>
      <c r="W54" s="10"/>
      <c r="X54" s="10"/>
      <c r="Y54" s="10"/>
      <c r="Z54" s="10"/>
      <c r="AA54" s="10"/>
      <c r="AB54" s="10"/>
      <c r="AC54" s="10"/>
      <c r="AD54" s="10"/>
      <c r="AE54" s="10"/>
    </row>
    <row r="55" spans="13:31" x14ac:dyDescent="0.2">
      <c r="M55" s="10"/>
      <c r="N55" s="10"/>
      <c r="O55" s="10"/>
      <c r="P55" s="10"/>
      <c r="Q55" s="10"/>
      <c r="R55" s="10"/>
      <c r="S55" s="10"/>
      <c r="T55" s="10"/>
      <c r="U55" s="10"/>
      <c r="V55" s="10"/>
      <c r="W55" s="10"/>
      <c r="X55" s="10"/>
      <c r="Y55" s="10"/>
      <c r="Z55" s="10"/>
      <c r="AA55" s="10"/>
      <c r="AB55" s="10"/>
      <c r="AC55" s="10"/>
      <c r="AD55" s="10"/>
      <c r="AE55" s="10"/>
    </row>
    <row r="56" spans="13:31" x14ac:dyDescent="0.2">
      <c r="M56" s="10"/>
      <c r="N56" s="10"/>
      <c r="O56" s="10"/>
      <c r="P56" s="10"/>
      <c r="Q56" s="10"/>
      <c r="R56" s="10"/>
      <c r="S56" s="10"/>
      <c r="T56" s="10"/>
      <c r="U56" s="10"/>
      <c r="V56" s="10"/>
      <c r="W56" s="10"/>
      <c r="X56" s="10"/>
      <c r="Y56" s="10"/>
      <c r="Z56" s="10"/>
      <c r="AA56" s="10"/>
      <c r="AB56" s="10"/>
      <c r="AC56" s="10"/>
      <c r="AD56" s="10"/>
      <c r="AE56" s="10"/>
    </row>
    <row r="57" spans="13:31" x14ac:dyDescent="0.2">
      <c r="M57" s="10"/>
      <c r="N57" s="10"/>
      <c r="O57" s="10"/>
      <c r="P57" s="10"/>
      <c r="Q57" s="10"/>
      <c r="R57" s="10"/>
      <c r="S57" s="10"/>
      <c r="T57" s="10"/>
      <c r="U57" s="10"/>
      <c r="V57" s="10"/>
      <c r="W57" s="10"/>
      <c r="X57" s="10"/>
      <c r="Y57" s="10"/>
      <c r="Z57" s="10"/>
      <c r="AA57" s="10"/>
      <c r="AB57" s="10"/>
      <c r="AC57" s="10"/>
      <c r="AD57" s="10"/>
      <c r="AE57"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pageSetUpPr fitToPage="1"/>
  </sheetPr>
  <dimension ref="A1:P135"/>
  <sheetViews>
    <sheetView topLeftCell="A4" zoomScale="90" zoomScaleNormal="90" zoomScalePageLayoutView="90" workbookViewId="0">
      <selection activeCell="L28" sqref="L28"/>
    </sheetView>
  </sheetViews>
  <sheetFormatPr baseColWidth="10" defaultColWidth="8.83203125" defaultRowHeight="15" x14ac:dyDescent="0.2"/>
  <cols>
    <col min="1" max="1" width="17.6640625" customWidth="1"/>
    <col min="4" max="4" width="9.1640625" customWidth="1"/>
    <col min="5" max="5" width="10.5" customWidth="1"/>
    <col min="14" max="14" width="24.1640625" customWidth="1"/>
    <col min="15" max="15" width="30.5" customWidth="1"/>
  </cols>
  <sheetData>
    <row r="1" spans="1:16" ht="16" thickBot="1" x14ac:dyDescent="0.25">
      <c r="A1" s="60" t="s">
        <v>260</v>
      </c>
      <c r="B1" s="61" t="s">
        <v>770</v>
      </c>
      <c r="C1" s="61"/>
      <c r="D1" s="61"/>
      <c r="E1" s="61"/>
      <c r="F1" s="61"/>
      <c r="G1" s="53" t="s">
        <v>684</v>
      </c>
      <c r="H1" s="55" t="s">
        <v>686</v>
      </c>
      <c r="I1" s="53" t="s">
        <v>264</v>
      </c>
      <c r="J1" s="55"/>
      <c r="N1" t="s">
        <v>771</v>
      </c>
    </row>
    <row r="2" spans="1:16" ht="16" thickBot="1" x14ac:dyDescent="0.25">
      <c r="A2" s="53" t="s">
        <v>261</v>
      </c>
      <c r="B2" s="84">
        <v>32</v>
      </c>
      <c r="C2" s="53" t="s">
        <v>262</v>
      </c>
      <c r="D2" s="55"/>
      <c r="E2" s="53" t="s">
        <v>263</v>
      </c>
      <c r="F2" s="55"/>
      <c r="G2" s="43"/>
      <c r="H2" s="16"/>
      <c r="I2" s="43" t="s">
        <v>265</v>
      </c>
      <c r="J2" s="16">
        <v>1</v>
      </c>
      <c r="N2" t="s">
        <v>772</v>
      </c>
    </row>
    <row r="3" spans="1:16" ht="16" thickBot="1" x14ac:dyDescent="0.25"/>
    <row r="4" spans="1:16" ht="16" thickBot="1" x14ac:dyDescent="0.25">
      <c r="A4" s="53" t="s">
        <v>661</v>
      </c>
      <c r="B4" s="78" t="s">
        <v>275</v>
      </c>
      <c r="C4" s="78" t="s">
        <v>662</v>
      </c>
      <c r="D4" s="69" t="s">
        <v>284</v>
      </c>
      <c r="E4" s="77" t="s">
        <v>5</v>
      </c>
      <c r="F4" s="78" t="s">
        <v>2</v>
      </c>
      <c r="G4" s="78" t="s">
        <v>3</v>
      </c>
      <c r="H4" s="78" t="s">
        <v>4</v>
      </c>
      <c r="I4" s="79" t="s">
        <v>272</v>
      </c>
      <c r="K4" s="46"/>
      <c r="P4" s="46"/>
    </row>
    <row r="5" spans="1:16" ht="16" thickBot="1" x14ac:dyDescent="0.25">
      <c r="A5" s="60" t="s">
        <v>266</v>
      </c>
      <c r="B5" s="72">
        <v>2</v>
      </c>
      <c r="C5" s="72">
        <f>IF(VLOOKUP($H$1,RacialModifiers,3,FALSE)=A5,VLOOKUP($H$1,RacialModifiers,2,FALSE),0)</f>
        <v>0</v>
      </c>
      <c r="D5" s="70">
        <f>SUM(B5:C5)</f>
        <v>2</v>
      </c>
      <c r="E5" s="77">
        <f>D5*D5</f>
        <v>4</v>
      </c>
      <c r="F5" s="78">
        <f>E5*2</f>
        <v>8</v>
      </c>
      <c r="G5" s="78">
        <f>F5*2</f>
        <v>16</v>
      </c>
      <c r="H5" s="78">
        <f>G5*2</f>
        <v>32</v>
      </c>
      <c r="I5" s="79">
        <f>H5*2</f>
        <v>64</v>
      </c>
      <c r="K5" s="46"/>
    </row>
    <row r="6" spans="1:16" x14ac:dyDescent="0.2">
      <c r="A6" s="41"/>
      <c r="B6" s="80"/>
      <c r="C6" s="80"/>
      <c r="D6" s="67"/>
      <c r="E6" s="66" t="s">
        <v>288</v>
      </c>
      <c r="F6" s="80"/>
      <c r="G6" s="80"/>
      <c r="H6" s="80"/>
      <c r="I6" s="81"/>
      <c r="K6" s="46"/>
    </row>
    <row r="7" spans="1:16" ht="16" thickBot="1" x14ac:dyDescent="0.25">
      <c r="A7" s="43"/>
      <c r="B7" s="75"/>
      <c r="C7" s="75"/>
      <c r="D7" s="68"/>
      <c r="E7" s="68">
        <f>D5</f>
        <v>2</v>
      </c>
      <c r="F7" s="75"/>
      <c r="G7" s="75"/>
      <c r="H7" s="75"/>
      <c r="I7" s="76"/>
      <c r="K7" s="46"/>
    </row>
    <row r="8" spans="1:16" ht="16" thickBot="1" x14ac:dyDescent="0.25">
      <c r="A8" s="60"/>
      <c r="B8" s="72"/>
      <c r="C8" s="72"/>
      <c r="D8" s="66"/>
      <c r="E8" s="66" t="s">
        <v>342</v>
      </c>
      <c r="F8" s="72"/>
      <c r="G8" s="72"/>
      <c r="H8" s="72"/>
      <c r="I8" s="73"/>
      <c r="K8" s="46"/>
      <c r="P8" s="46" t="s">
        <v>657</v>
      </c>
    </row>
    <row r="9" spans="1:16" ht="16" thickBot="1" x14ac:dyDescent="0.25">
      <c r="A9" s="43" t="s">
        <v>267</v>
      </c>
      <c r="B9" s="75">
        <v>6</v>
      </c>
      <c r="C9" s="75">
        <f>IF(VLOOKUP($H$1,RacialModifiers,3,FALSE)=A9,VLOOKUP($H$1,RacialModifiers,2,FALSE),0)</f>
        <v>0</v>
      </c>
      <c r="D9" s="70">
        <f>SUM(B9:C9)</f>
        <v>6</v>
      </c>
      <c r="E9" s="68">
        <f>D9*5</f>
        <v>30</v>
      </c>
      <c r="F9" s="75"/>
      <c r="G9" s="75"/>
      <c r="H9" s="75"/>
      <c r="I9" s="76"/>
      <c r="P9" s="46" t="s">
        <v>682</v>
      </c>
    </row>
    <row r="10" spans="1:16" ht="16" thickBot="1" x14ac:dyDescent="0.25">
      <c r="A10" s="60"/>
      <c r="B10" s="72"/>
      <c r="C10" s="72"/>
      <c r="D10" s="66"/>
      <c r="E10" s="66" t="s">
        <v>699</v>
      </c>
      <c r="F10" s="72"/>
      <c r="G10" s="72"/>
      <c r="H10" s="72"/>
      <c r="I10" s="73"/>
      <c r="K10" s="46"/>
      <c r="P10" s="47" t="s">
        <v>681</v>
      </c>
    </row>
    <row r="11" spans="1:16" ht="16" thickBot="1" x14ac:dyDescent="0.25">
      <c r="A11" s="43" t="s">
        <v>268</v>
      </c>
      <c r="B11" s="75">
        <v>6</v>
      </c>
      <c r="C11" s="75">
        <f>IF(VLOOKUP($H$1,RacialModifiers,3,FALSE)=A11,VLOOKUP($H$1,RacialModifiers,2,FALSE),0)</f>
        <v>0</v>
      </c>
      <c r="D11" s="70">
        <f>SUM(B11:C11)</f>
        <v>6</v>
      </c>
      <c r="E11" s="68">
        <f>IF(D11&lt;=1,-1,FLOOR(D11*D11*D11/27,0.5)) + 10</f>
        <v>18</v>
      </c>
      <c r="F11" s="75"/>
      <c r="G11" s="75"/>
      <c r="H11" s="75"/>
      <c r="I11" s="76"/>
      <c r="K11" s="46"/>
      <c r="P11" s="47" t="s">
        <v>683</v>
      </c>
    </row>
    <row r="12" spans="1:16" ht="16" thickBot="1" x14ac:dyDescent="0.25">
      <c r="A12" s="60"/>
      <c r="B12" s="72"/>
      <c r="C12" s="72"/>
      <c r="D12" s="66"/>
      <c r="E12" s="71" t="s">
        <v>286</v>
      </c>
      <c r="F12" s="72" t="s">
        <v>287</v>
      </c>
      <c r="G12" s="73" t="s">
        <v>677</v>
      </c>
      <c r="H12" s="72"/>
      <c r="I12" s="73"/>
      <c r="K12" s="46"/>
      <c r="P12" s="46"/>
    </row>
    <row r="13" spans="1:16" ht="16" thickBot="1" x14ac:dyDescent="0.25">
      <c r="A13" s="41" t="s">
        <v>269</v>
      </c>
      <c r="B13" s="80">
        <v>4</v>
      </c>
      <c r="C13" s="80">
        <f>IF(VLOOKUP($H$1,RacialModifiers,3,FALSE)=A13,VLOOKUP($H$1,RacialModifiers,2,FALSE),0)</f>
        <v>2</v>
      </c>
      <c r="D13" s="70">
        <f>SUM(B13:C13)</f>
        <v>6</v>
      </c>
      <c r="E13" s="74">
        <f>D13</f>
        <v>6</v>
      </c>
      <c r="F13" s="75">
        <v>0</v>
      </c>
      <c r="G13" s="76">
        <f>E13+F13</f>
        <v>6</v>
      </c>
      <c r="H13" s="80"/>
      <c r="I13" s="81"/>
      <c r="K13" s="46"/>
      <c r="P13" s="47"/>
    </row>
    <row r="14" spans="1:16" x14ac:dyDescent="0.2">
      <c r="A14" s="41"/>
      <c r="B14" s="80"/>
      <c r="C14" s="80"/>
      <c r="D14" s="67"/>
      <c r="E14" s="66" t="s">
        <v>341</v>
      </c>
      <c r="F14" s="80"/>
      <c r="G14" s="80"/>
      <c r="H14" s="80"/>
      <c r="I14" s="81"/>
      <c r="P14" s="46" t="s">
        <v>658</v>
      </c>
    </row>
    <row r="15" spans="1:16" ht="16" thickBot="1" x14ac:dyDescent="0.25">
      <c r="A15" s="43"/>
      <c r="B15" s="75"/>
      <c r="C15" s="75"/>
      <c r="D15" s="68"/>
      <c r="E15" s="68">
        <f>D13*3</f>
        <v>18</v>
      </c>
      <c r="F15" s="75"/>
      <c r="G15" s="75"/>
      <c r="H15" s="75"/>
      <c r="I15" s="76"/>
      <c r="K15" s="46"/>
    </row>
    <row r="16" spans="1:16" ht="16" thickBot="1" x14ac:dyDescent="0.25">
      <c r="A16" s="60"/>
      <c r="B16" s="72"/>
      <c r="C16" s="72"/>
      <c r="D16" s="66"/>
      <c r="E16" s="71" t="s">
        <v>277</v>
      </c>
      <c r="F16" s="72" t="s">
        <v>276</v>
      </c>
      <c r="G16" s="73" t="s">
        <v>274</v>
      </c>
      <c r="H16" s="72"/>
      <c r="I16" s="73"/>
      <c r="K16" s="46"/>
    </row>
    <row r="17" spans="1:11" ht="16" thickBot="1" x14ac:dyDescent="0.25">
      <c r="A17" s="41" t="s">
        <v>270</v>
      </c>
      <c r="B17" s="80">
        <v>2</v>
      </c>
      <c r="C17" s="80">
        <f>IF(VLOOKUP($H$1,RacialModifiers,3,FALSE)=A17,VLOOKUP($H$1,RacialModifiers,2,FALSE),0)</f>
        <v>0</v>
      </c>
      <c r="D17" s="70">
        <f>SUM(B17:C17)</f>
        <v>2</v>
      </c>
      <c r="E17" s="74">
        <f>D17*D17</f>
        <v>4</v>
      </c>
      <c r="F17" s="75">
        <v>0</v>
      </c>
      <c r="G17" s="76">
        <f>E17+F17</f>
        <v>4</v>
      </c>
      <c r="H17" s="80"/>
      <c r="I17" s="81"/>
      <c r="K17" s="46"/>
    </row>
    <row r="18" spans="1:11" x14ac:dyDescent="0.2">
      <c r="A18" s="41"/>
      <c r="B18" s="80"/>
      <c r="C18" s="80"/>
      <c r="D18" s="67"/>
      <c r="E18" s="71" t="s">
        <v>278</v>
      </c>
      <c r="F18" s="72" t="s">
        <v>279</v>
      </c>
      <c r="G18" s="73" t="s">
        <v>280</v>
      </c>
      <c r="H18" s="80"/>
      <c r="I18" s="81"/>
    </row>
    <row r="19" spans="1:11" ht="16" thickBot="1" x14ac:dyDescent="0.25">
      <c r="A19" s="43"/>
      <c r="B19" s="75"/>
      <c r="C19" s="75"/>
      <c r="D19" s="68"/>
      <c r="E19" s="74">
        <f>D17*D17</f>
        <v>4</v>
      </c>
      <c r="F19" s="75">
        <v>0</v>
      </c>
      <c r="G19" s="76">
        <f>E19+F19</f>
        <v>4</v>
      </c>
      <c r="H19" s="75"/>
      <c r="I19" s="76"/>
      <c r="K19" s="46"/>
    </row>
    <row r="20" spans="1:11" ht="16" thickBot="1" x14ac:dyDescent="0.25">
      <c r="A20" s="41"/>
      <c r="B20" s="80"/>
      <c r="C20" s="80"/>
      <c r="D20" s="67"/>
      <c r="E20" s="82" t="s">
        <v>281</v>
      </c>
      <c r="F20" s="80" t="s">
        <v>282</v>
      </c>
      <c r="G20" s="81" t="s">
        <v>283</v>
      </c>
      <c r="H20" s="80"/>
      <c r="I20" s="81"/>
      <c r="K20" s="46"/>
    </row>
    <row r="21" spans="1:11" ht="16" thickBot="1" x14ac:dyDescent="0.25">
      <c r="A21" s="43" t="s">
        <v>271</v>
      </c>
      <c r="B21" s="75">
        <v>4</v>
      </c>
      <c r="C21" s="75">
        <f>IF(VLOOKUP($H$1,RacialModifiers,3,FALSE)=A21,VLOOKUP($H$1,RacialModifiers,2,FALSE),0)</f>
        <v>0</v>
      </c>
      <c r="D21" s="70">
        <f>SUM(B21:C21)</f>
        <v>4</v>
      </c>
      <c r="E21" s="74">
        <f>D21*D21</f>
        <v>16</v>
      </c>
      <c r="F21" s="75">
        <v>0</v>
      </c>
      <c r="G21" s="76">
        <f>E21+F21</f>
        <v>16</v>
      </c>
      <c r="H21" s="75"/>
      <c r="I21" s="76"/>
      <c r="K21" s="46"/>
    </row>
    <row r="22" spans="1:11" ht="16" thickBot="1" x14ac:dyDescent="0.25"/>
    <row r="23" spans="1:11" ht="16" thickBot="1" x14ac:dyDescent="0.25">
      <c r="A23" s="53" t="s">
        <v>79</v>
      </c>
      <c r="B23" s="53" t="s">
        <v>289</v>
      </c>
      <c r="C23" s="54" t="s">
        <v>676</v>
      </c>
      <c r="D23" s="54" t="s">
        <v>663</v>
      </c>
      <c r="E23" s="55" t="s">
        <v>677</v>
      </c>
      <c r="F23" s="59" t="s">
        <v>664</v>
      </c>
      <c r="G23" s="54"/>
      <c r="H23" s="58" t="s">
        <v>665</v>
      </c>
      <c r="I23" s="58" t="s">
        <v>82</v>
      </c>
      <c r="K23" s="46"/>
    </row>
    <row r="24" spans="1:11" ht="16" thickBot="1" x14ac:dyDescent="0.25">
      <c r="A24" s="43" t="s">
        <v>353</v>
      </c>
      <c r="B24" s="43" t="s">
        <v>655</v>
      </c>
      <c r="C24" s="44">
        <f ca="1">VLOOKUP(B24,INDIRECT(VLOOKUP($A$24,armor, 5,FALSE)),4,FALSE)</f>
        <v>0</v>
      </c>
      <c r="D24" s="44">
        <f>VLOOKUP($A$24,GMScreen!A89:F102,3,FALSE)</f>
        <v>3</v>
      </c>
      <c r="E24" s="16">
        <f ca="1">C24+D24</f>
        <v>3</v>
      </c>
      <c r="F24" s="62">
        <f ca="1">C24+D24+E24</f>
        <v>6</v>
      </c>
      <c r="G24" s="44"/>
      <c r="H24" s="56">
        <f>VLOOKUP($A$24,armor,4,FALSE)</f>
        <v>-2</v>
      </c>
      <c r="I24" s="56">
        <f>H41</f>
        <v>7</v>
      </c>
      <c r="K24" s="46"/>
    </row>
    <row r="25" spans="1:11" ht="16" thickBot="1" x14ac:dyDescent="0.25"/>
    <row r="26" spans="1:11" x14ac:dyDescent="0.2">
      <c r="A26" s="60"/>
      <c r="B26" s="60"/>
      <c r="C26" s="72"/>
      <c r="D26" s="73"/>
      <c r="E26" s="85" t="s">
        <v>89</v>
      </c>
      <c r="F26" s="72" t="s">
        <v>80</v>
      </c>
      <c r="G26" s="85" t="s">
        <v>80</v>
      </c>
      <c r="H26" s="72" t="s">
        <v>91</v>
      </c>
      <c r="I26" s="86" t="s">
        <v>91</v>
      </c>
      <c r="J26" s="85"/>
    </row>
    <row r="27" spans="1:11" ht="16" thickBot="1" x14ac:dyDescent="0.25">
      <c r="A27" s="43" t="s">
        <v>674</v>
      </c>
      <c r="B27" s="43" t="s">
        <v>289</v>
      </c>
      <c r="C27" s="75" t="s">
        <v>676</v>
      </c>
      <c r="D27" s="76" t="s">
        <v>285</v>
      </c>
      <c r="E27" s="87" t="s">
        <v>284</v>
      </c>
      <c r="F27" s="75" t="s">
        <v>275</v>
      </c>
      <c r="G27" s="87" t="s">
        <v>284</v>
      </c>
      <c r="H27" s="75" t="s">
        <v>275</v>
      </c>
      <c r="I27" s="88" t="s">
        <v>284</v>
      </c>
      <c r="J27" s="87" t="s">
        <v>273</v>
      </c>
    </row>
    <row r="28" spans="1:11" x14ac:dyDescent="0.2">
      <c r="A28" s="41" t="s">
        <v>556</v>
      </c>
      <c r="B28" s="41" t="s">
        <v>483</v>
      </c>
      <c r="C28" s="80">
        <f ca="1">VLOOKUP(B28,INDIRECT(VLOOKUP(A28, INDIRECT(VLOOKUP(A28,MeleeWeapons, 2,FALSE)),9,FALSE)),4,FALSE)</f>
        <v>0</v>
      </c>
      <c r="D28" s="81">
        <v>0</v>
      </c>
      <c r="E28" s="89">
        <f ca="1">C28+D28</f>
        <v>0</v>
      </c>
      <c r="F28" s="80">
        <f ca="1">VLOOKUP($A28, INDIRECT(VLOOKUP($A28,MeleeWeapons, 2,FALSE)),7,FALSE)</f>
        <v>1</v>
      </c>
      <c r="G28" s="89">
        <f ca="1">D28+C28+F28</f>
        <v>1</v>
      </c>
      <c r="H28" s="80">
        <f ca="1">VLOOKUP($A28, INDIRECT(VLOOKUP($A28,MeleeWeapons, 2,FALSE)),6,FALSE)</f>
        <v>6</v>
      </c>
      <c r="I28" s="90">
        <f ca="1">H28+C28+$D$5</f>
        <v>8</v>
      </c>
      <c r="J28" s="89">
        <f ca="1">6+VLOOKUP($A28, INDIRECT(VLOOKUP($A28,MeleeWeapons, 2,FALSE)),8,FALSE)</f>
        <v>9</v>
      </c>
    </row>
    <row r="29" spans="1:11" x14ac:dyDescent="0.2">
      <c r="A29" s="41" t="s">
        <v>596</v>
      </c>
      <c r="B29" s="41" t="s">
        <v>103</v>
      </c>
      <c r="C29" s="80">
        <f ca="1">VLOOKUP(B29,INDIRECT(VLOOKUP(A29, INDIRECT(VLOOKUP(A29,MeleeWeapons, 2,FALSE)),9,FALSE)),4,FALSE)</f>
        <v>1</v>
      </c>
      <c r="D29" s="81">
        <v>0</v>
      </c>
      <c r="E29" s="89">
        <f ca="1">C29+D29</f>
        <v>1</v>
      </c>
      <c r="F29" s="80" t="str">
        <f ca="1">VLOOKUP($A29, INDIRECT(VLOOKUP($A29,MeleeWeapons, 2,FALSE)),7,FALSE)</f>
        <v>0</v>
      </c>
      <c r="G29" s="89">
        <f ca="1">D29+C29+F29</f>
        <v>1</v>
      </c>
      <c r="H29" s="80">
        <f ca="1">VLOOKUP($A29, INDIRECT(VLOOKUP($A29,MeleeWeapons, 2,FALSE)),6,FALSE)</f>
        <v>5</v>
      </c>
      <c r="I29" s="90">
        <f ca="1">H29+C29+$D$5</f>
        <v>8</v>
      </c>
      <c r="J29" s="89">
        <f ca="1">6+VLOOKUP($A29, INDIRECT(VLOOKUP($A29,MeleeWeapons, 2,FALSE)),8,FALSE)</f>
        <v>8</v>
      </c>
    </row>
    <row r="30" spans="1:11" ht="16" thickBot="1" x14ac:dyDescent="0.25">
      <c r="A30" s="43" t="s">
        <v>553</v>
      </c>
      <c r="B30" s="43" t="s">
        <v>103</v>
      </c>
      <c r="C30" s="75">
        <f ca="1">VLOOKUP(B30,INDIRECT(VLOOKUP(A30, INDIRECT(VLOOKUP(A30,MeleeWeapons, 2,FALSE)),9,FALSE)),4,FALSE)</f>
        <v>1</v>
      </c>
      <c r="D30" s="76">
        <v>0</v>
      </c>
      <c r="E30" s="91">
        <f ca="1">C30+D30</f>
        <v>1</v>
      </c>
      <c r="F30" s="75" t="str">
        <f ca="1">VLOOKUP($A30, INDIRECT(VLOOKUP($A30,MeleeWeapons, 2,FALSE)),7,FALSE)</f>
        <v>0</v>
      </c>
      <c r="G30" s="91">
        <f ca="1">D30+C30+F30</f>
        <v>1</v>
      </c>
      <c r="H30" s="75">
        <f ca="1">VLOOKUP($A30, INDIRECT(VLOOKUP($A30,MeleeWeapons, 2,FALSE)),6,FALSE)</f>
        <v>7</v>
      </c>
      <c r="I30" s="92">
        <f ca="1">H30+C30+$D$5</f>
        <v>10</v>
      </c>
      <c r="J30" s="91">
        <f ca="1">6+VLOOKUP($A30, INDIRECT(VLOOKUP($A30,MeleeWeapons, 2,FALSE)),8,FALSE)</f>
        <v>12</v>
      </c>
    </row>
    <row r="31" spans="1:11" ht="16" thickBot="1" x14ac:dyDescent="0.25">
      <c r="B31" s="41"/>
      <c r="C31" s="80"/>
      <c r="D31" s="81"/>
      <c r="E31" s="89"/>
      <c r="F31" s="93"/>
      <c r="G31" s="89"/>
      <c r="H31" s="93"/>
      <c r="I31" s="90"/>
      <c r="J31" s="89"/>
    </row>
    <row r="32" spans="1:11" ht="16" thickBot="1" x14ac:dyDescent="0.25">
      <c r="A32" s="53" t="s">
        <v>659</v>
      </c>
      <c r="B32" s="53"/>
      <c r="C32" s="78"/>
      <c r="D32" s="79"/>
      <c r="E32" s="94"/>
      <c r="F32" s="78"/>
      <c r="G32" s="94"/>
      <c r="H32" s="78"/>
      <c r="I32" s="95"/>
      <c r="J32" s="94"/>
    </row>
    <row r="33" spans="1:15" x14ac:dyDescent="0.2">
      <c r="A33" s="41" t="s">
        <v>614</v>
      </c>
      <c r="B33" s="41" t="s">
        <v>483</v>
      </c>
      <c r="C33" s="80">
        <f ca="1">VLOOKUP(B33,INDIRECT(VLOOKUP(A33, INDIRECT(VLOOKUP(A33,RangedWeapons, 2,FALSE)),9,FALSE)),4,FALSE)</f>
        <v>0</v>
      </c>
      <c r="D33" s="81">
        <v>0</v>
      </c>
      <c r="E33" s="89">
        <f ca="1">C33+D33</f>
        <v>0</v>
      </c>
      <c r="F33" s="80">
        <f ca="1">VLOOKUP($A33, INDIRECT(VLOOKUP($A33,RangedWeapons, 2,FALSE)),7,FALSE)</f>
        <v>0</v>
      </c>
      <c r="G33" s="89">
        <f ca="1">D33+C33+F33</f>
        <v>0</v>
      </c>
      <c r="H33" s="80">
        <f ca="1">VLOOKUP($A33, INDIRECT(VLOOKUP($A33,RangedWeapons, 2,FALSE)),6,FALSE)</f>
        <v>20</v>
      </c>
      <c r="I33" s="90">
        <f ca="1">H33+C33+IF(VLOOKUP(A33,RangedWeapons, 2,FALSE) = "Bow", $D$5, 0)</f>
        <v>20</v>
      </c>
      <c r="J33" s="89">
        <f ca="1">6+VLOOKUP($A33, INDIRECT(VLOOKUP($A33,RangedWeapons, 2,FALSE)),8,FALSE)</f>
        <v>46</v>
      </c>
    </row>
    <row r="34" spans="1:15" ht="16" thickBot="1" x14ac:dyDescent="0.25">
      <c r="A34" s="43" t="s">
        <v>660</v>
      </c>
      <c r="B34" s="43" t="s">
        <v>660</v>
      </c>
      <c r="C34" s="75">
        <f ca="1">VLOOKUP(B34,INDIRECT(VLOOKUP(A34, INDIRECT(VLOOKUP(A34,RangedWeapons, 2,FALSE)),9,FALSE)),4,FALSE)</f>
        <v>0</v>
      </c>
      <c r="D34" s="76">
        <v>0</v>
      </c>
      <c r="E34" s="91">
        <f ca="1">C34+D34</f>
        <v>0</v>
      </c>
      <c r="F34" s="75">
        <f ca="1">VLOOKUP($A34, INDIRECT(VLOOKUP($A34,RangedWeapons, 2,FALSE)),7,FALSE)</f>
        <v>0</v>
      </c>
      <c r="G34" s="91">
        <f ca="1">D34+C34+F34</f>
        <v>0</v>
      </c>
      <c r="H34" s="75">
        <f ca="1">VLOOKUP($A34, INDIRECT(VLOOKUP($A34,RangedWeapons, 2,FALSE)),6,FALSE)</f>
        <v>0</v>
      </c>
      <c r="I34" s="92">
        <f ca="1">H34+C34+IF(VLOOKUP(A34,RangedWeapons, 2,FALSE) = "Bow", $D$5, 0)</f>
        <v>0</v>
      </c>
      <c r="J34" s="91">
        <f ca="1">6+VLOOKUP($A34, INDIRECT(VLOOKUP($A34,RangedWeapons, 2,FALSE)),8,FALSE)</f>
        <v>6</v>
      </c>
    </row>
    <row r="35" spans="1:15" ht="16" thickBot="1" x14ac:dyDescent="0.25">
      <c r="B35" s="41"/>
      <c r="C35" s="80"/>
      <c r="D35" s="81"/>
      <c r="E35" s="89"/>
      <c r="F35" s="93"/>
      <c r="G35" s="89"/>
      <c r="H35" s="93"/>
      <c r="I35" s="90"/>
      <c r="J35" s="89"/>
    </row>
    <row r="36" spans="1:15" ht="16" thickBot="1" x14ac:dyDescent="0.25">
      <c r="A36" s="53" t="s">
        <v>201</v>
      </c>
      <c r="B36" s="53"/>
      <c r="C36" s="78"/>
      <c r="D36" s="79"/>
      <c r="E36" s="94"/>
      <c r="F36" s="78"/>
      <c r="G36" s="94"/>
      <c r="H36" s="78"/>
      <c r="I36" s="95"/>
      <c r="J36" s="94"/>
    </row>
    <row r="37" spans="1:15" ht="16" thickBot="1" x14ac:dyDescent="0.25">
      <c r="A37" s="43" t="s">
        <v>641</v>
      </c>
      <c r="B37" s="43" t="s">
        <v>483</v>
      </c>
      <c r="C37" s="75">
        <f ca="1">VLOOKUP(B37,INDIRECT(VLOOKUP(A37, INDIRECT(VLOOKUP(A37,ShieldWeapons, 2,FALSE)),9,FALSE)),4,FALSE)</f>
        <v>0</v>
      </c>
      <c r="D37" s="76">
        <v>0</v>
      </c>
      <c r="E37" s="91">
        <f ca="1">C37+D37</f>
        <v>0</v>
      </c>
      <c r="F37" s="75">
        <f ca="1">VLOOKUP($A37, INDIRECT(VLOOKUP($A37,ShieldWeapons, 2,FALSE)),7,FALSE)</f>
        <v>2</v>
      </c>
      <c r="G37" s="91">
        <f ca="1">D37+C37+F37</f>
        <v>2</v>
      </c>
      <c r="H37" s="75">
        <f ca="1">VLOOKUP($A37, INDIRECT(VLOOKUP($A37,ShieldWeapons, 2,FALSE)),6,FALSE)</f>
        <v>2</v>
      </c>
      <c r="I37" s="92">
        <f ca="1">H37+C37+$D$5</f>
        <v>4</v>
      </c>
      <c r="J37" s="91">
        <f ca="1">6+VLOOKUP($A37, INDIRECT(VLOOKUP($A37,ShieldWeapons, 2,FALSE)),8,FALSE)</f>
        <v>6</v>
      </c>
      <c r="K37" s="46"/>
    </row>
    <row r="38" spans="1:15" ht="16" thickBot="1" x14ac:dyDescent="0.25"/>
    <row r="39" spans="1:15" ht="16" thickBot="1" x14ac:dyDescent="0.25">
      <c r="A39" s="53" t="s">
        <v>713</v>
      </c>
      <c r="B39" s="53" t="s">
        <v>661</v>
      </c>
      <c r="C39" s="55"/>
      <c r="D39" s="78" t="s">
        <v>0</v>
      </c>
      <c r="E39" s="78" t="s">
        <v>290</v>
      </c>
      <c r="F39" s="78" t="s">
        <v>335</v>
      </c>
      <c r="G39" s="78" t="s">
        <v>336</v>
      </c>
      <c r="H39" s="70" t="s">
        <v>334</v>
      </c>
      <c r="I39" s="79" t="s">
        <v>700</v>
      </c>
    </row>
    <row r="40" spans="1:15" ht="14.25" customHeight="1" x14ac:dyDescent="0.2">
      <c r="A40" s="41" t="s">
        <v>86</v>
      </c>
      <c r="B40" s="41" t="s">
        <v>268</v>
      </c>
      <c r="C40" s="32"/>
      <c r="D40" s="80">
        <v>2</v>
      </c>
      <c r="E40" s="80">
        <f t="shared" ref="E40:E71" si="0">MAX(VLOOKUP(B40,$A$5:$D$21,4,FALSE), IF(ISNA(VLOOKUP(C40,$A$5:$D$21,4,FALSE)),0,VLOOKUP(C40,$A$5:$D$21,4,FALSE)))</f>
        <v>6</v>
      </c>
      <c r="F40" s="80">
        <f t="shared" ref="F40:F90" si="1">SkillCombine(N40,$A$40:$I$95)</f>
        <v>0</v>
      </c>
      <c r="G40" s="80">
        <v>0</v>
      </c>
      <c r="H40" s="96">
        <f t="shared" ref="H40:H71" si="2">D40+E40+F40+G40</f>
        <v>8</v>
      </c>
      <c r="I40" s="81">
        <f t="shared" ref="I40:I71" si="3">FLOOR(H40/5,1)</f>
        <v>1</v>
      </c>
    </row>
    <row r="41" spans="1:15" ht="14.25" customHeight="1" x14ac:dyDescent="0.2">
      <c r="A41" s="41" t="s">
        <v>312</v>
      </c>
      <c r="B41" s="41" t="s">
        <v>268</v>
      </c>
      <c r="C41" s="32"/>
      <c r="D41" s="80">
        <v>1</v>
      </c>
      <c r="E41" s="80">
        <f t="shared" si="0"/>
        <v>6</v>
      </c>
      <c r="F41" s="80">
        <f t="shared" si="1"/>
        <v>0</v>
      </c>
      <c r="G41" s="80">
        <v>0</v>
      </c>
      <c r="H41" s="96">
        <f t="shared" si="2"/>
        <v>7</v>
      </c>
      <c r="I41" s="81">
        <f t="shared" si="3"/>
        <v>1</v>
      </c>
    </row>
    <row r="42" spans="1:15" ht="14.25" customHeight="1" x14ac:dyDescent="0.2">
      <c r="A42" s="41" t="s">
        <v>299</v>
      </c>
      <c r="B42" s="41" t="s">
        <v>268</v>
      </c>
      <c r="C42" s="32" t="s">
        <v>271</v>
      </c>
      <c r="D42" s="80">
        <v>0</v>
      </c>
      <c r="E42" s="80">
        <f t="shared" si="0"/>
        <v>6</v>
      </c>
      <c r="F42" s="80">
        <f t="shared" si="1"/>
        <v>2</v>
      </c>
      <c r="G42" s="80">
        <v>0</v>
      </c>
      <c r="H42" s="96">
        <f t="shared" si="2"/>
        <v>8</v>
      </c>
      <c r="I42" s="81">
        <f t="shared" si="3"/>
        <v>1</v>
      </c>
      <c r="N42" t="s">
        <v>338</v>
      </c>
      <c r="O42" t="s">
        <v>704</v>
      </c>
    </row>
    <row r="43" spans="1:15" ht="14.25" customHeight="1" x14ac:dyDescent="0.2">
      <c r="A43" s="41" t="s">
        <v>305</v>
      </c>
      <c r="B43" s="41" t="s">
        <v>270</v>
      </c>
      <c r="C43" s="32" t="s">
        <v>269</v>
      </c>
      <c r="D43" s="80">
        <v>0</v>
      </c>
      <c r="E43" s="80">
        <f t="shared" si="0"/>
        <v>6</v>
      </c>
      <c r="F43" s="80">
        <f t="shared" si="1"/>
        <v>2</v>
      </c>
      <c r="G43" s="80">
        <v>0</v>
      </c>
      <c r="H43" s="96">
        <f t="shared" si="2"/>
        <v>8</v>
      </c>
      <c r="I43" s="81">
        <f t="shared" si="3"/>
        <v>1</v>
      </c>
      <c r="N43" t="s">
        <v>306</v>
      </c>
    </row>
    <row r="44" spans="1:15" ht="14.25" customHeight="1" x14ac:dyDescent="0.2">
      <c r="A44" s="41" t="s">
        <v>316</v>
      </c>
      <c r="B44" s="41" t="s">
        <v>270</v>
      </c>
      <c r="C44" s="32" t="s">
        <v>271</v>
      </c>
      <c r="D44" s="80">
        <v>1</v>
      </c>
      <c r="E44" s="80">
        <f t="shared" si="0"/>
        <v>4</v>
      </c>
      <c r="F44" s="80">
        <f t="shared" si="1"/>
        <v>1</v>
      </c>
      <c r="G44" s="80">
        <v>0</v>
      </c>
      <c r="H44" s="96">
        <f t="shared" si="2"/>
        <v>6</v>
      </c>
      <c r="I44" s="81">
        <f t="shared" si="3"/>
        <v>1</v>
      </c>
      <c r="N44" t="s">
        <v>317</v>
      </c>
    </row>
    <row r="45" spans="1:15" ht="14.25" customHeight="1" x14ac:dyDescent="0.2">
      <c r="A45" s="41" t="s">
        <v>709</v>
      </c>
      <c r="B45" s="41" t="s">
        <v>269</v>
      </c>
      <c r="C45" s="32"/>
      <c r="D45" s="80">
        <v>0</v>
      </c>
      <c r="E45" s="80">
        <f t="shared" si="0"/>
        <v>6</v>
      </c>
      <c r="F45" s="80">
        <f t="shared" si="1"/>
        <v>0</v>
      </c>
      <c r="G45" s="80">
        <v>0</v>
      </c>
      <c r="H45" s="96">
        <f t="shared" si="2"/>
        <v>6</v>
      </c>
      <c r="I45" s="81">
        <f t="shared" si="3"/>
        <v>1</v>
      </c>
    </row>
    <row r="46" spans="1:15" ht="14.25" customHeight="1" x14ac:dyDescent="0.2">
      <c r="A46" s="41" t="s">
        <v>303</v>
      </c>
      <c r="B46" s="41" t="s">
        <v>267</v>
      </c>
      <c r="C46" s="32" t="s">
        <v>268</v>
      </c>
      <c r="D46" s="80">
        <v>0</v>
      </c>
      <c r="E46" s="80">
        <f t="shared" si="0"/>
        <v>6</v>
      </c>
      <c r="F46" s="80">
        <f t="shared" si="1"/>
        <v>1</v>
      </c>
      <c r="G46" s="80">
        <v>0</v>
      </c>
      <c r="H46" s="96">
        <f t="shared" si="2"/>
        <v>7</v>
      </c>
      <c r="I46" s="81">
        <f t="shared" si="3"/>
        <v>1</v>
      </c>
      <c r="N46" t="s">
        <v>291</v>
      </c>
    </row>
    <row r="47" spans="1:15" ht="14.25" customHeight="1" x14ac:dyDescent="0.2">
      <c r="A47" s="41" t="s">
        <v>205</v>
      </c>
      <c r="B47" s="41" t="s">
        <v>269</v>
      </c>
      <c r="C47" s="32" t="s">
        <v>266</v>
      </c>
      <c r="D47" s="80">
        <v>0</v>
      </c>
      <c r="E47" s="80">
        <f t="shared" si="0"/>
        <v>6</v>
      </c>
      <c r="F47" s="80">
        <f t="shared" si="1"/>
        <v>1</v>
      </c>
      <c r="G47" s="80">
        <v>0</v>
      </c>
      <c r="H47" s="96">
        <f t="shared" si="2"/>
        <v>7</v>
      </c>
      <c r="I47" s="81">
        <f t="shared" si="3"/>
        <v>1</v>
      </c>
      <c r="N47" t="s">
        <v>297</v>
      </c>
    </row>
    <row r="48" spans="1:15" ht="14.25" customHeight="1" x14ac:dyDescent="0.2">
      <c r="A48" s="41" t="s">
        <v>765</v>
      </c>
      <c r="B48" s="41" t="s">
        <v>270</v>
      </c>
      <c r="C48" s="32" t="s">
        <v>269</v>
      </c>
      <c r="D48" s="80">
        <v>0</v>
      </c>
      <c r="E48" s="80">
        <f t="shared" si="0"/>
        <v>6</v>
      </c>
      <c r="F48" s="80">
        <f t="shared" si="1"/>
        <v>1</v>
      </c>
      <c r="G48" s="80">
        <v>0</v>
      </c>
      <c r="H48" s="96">
        <f t="shared" si="2"/>
        <v>7</v>
      </c>
      <c r="I48" s="81">
        <f t="shared" si="3"/>
        <v>1</v>
      </c>
      <c r="N48" t="s">
        <v>317</v>
      </c>
    </row>
    <row r="49" spans="1:15" ht="14.25" customHeight="1" x14ac:dyDescent="0.2">
      <c r="A49" s="41" t="s">
        <v>313</v>
      </c>
      <c r="B49" s="41" t="s">
        <v>268</v>
      </c>
      <c r="C49" s="32" t="s">
        <v>270</v>
      </c>
      <c r="D49" s="80">
        <v>1</v>
      </c>
      <c r="E49" s="80">
        <f t="shared" si="0"/>
        <v>6</v>
      </c>
      <c r="F49" s="80">
        <f t="shared" si="1"/>
        <v>1</v>
      </c>
      <c r="G49" s="80">
        <v>0</v>
      </c>
      <c r="H49" s="96">
        <f t="shared" si="2"/>
        <v>8</v>
      </c>
      <c r="I49" s="81">
        <f t="shared" si="3"/>
        <v>1</v>
      </c>
      <c r="N49" t="s">
        <v>312</v>
      </c>
    </row>
    <row r="50" spans="1:15" ht="14.25" customHeight="1" x14ac:dyDescent="0.2">
      <c r="A50" s="41" t="s">
        <v>307</v>
      </c>
      <c r="B50" s="41" t="s">
        <v>270</v>
      </c>
      <c r="C50" s="32" t="s">
        <v>269</v>
      </c>
      <c r="D50" s="80">
        <v>0</v>
      </c>
      <c r="E50" s="80">
        <f t="shared" si="0"/>
        <v>6</v>
      </c>
      <c r="F50" s="80">
        <f t="shared" si="1"/>
        <v>1</v>
      </c>
      <c r="G50" s="80">
        <v>0</v>
      </c>
      <c r="H50" s="96">
        <f t="shared" si="2"/>
        <v>7</v>
      </c>
      <c r="I50" s="81">
        <f t="shared" si="3"/>
        <v>1</v>
      </c>
      <c r="N50" t="s">
        <v>318</v>
      </c>
      <c r="O50" t="s">
        <v>703</v>
      </c>
    </row>
    <row r="51" spans="1:15" ht="14.25" customHeight="1" x14ac:dyDescent="0.2">
      <c r="A51" s="41" t="s">
        <v>300</v>
      </c>
      <c r="B51" s="41" t="s">
        <v>268</v>
      </c>
      <c r="C51" s="32" t="s">
        <v>271</v>
      </c>
      <c r="D51" s="80">
        <v>0</v>
      </c>
      <c r="E51" s="80">
        <f t="shared" si="0"/>
        <v>6</v>
      </c>
      <c r="F51" s="80">
        <f t="shared" si="1"/>
        <v>0</v>
      </c>
      <c r="G51" s="80">
        <v>0</v>
      </c>
      <c r="H51" s="96">
        <f t="shared" si="2"/>
        <v>6</v>
      </c>
      <c r="I51" s="81">
        <f t="shared" si="3"/>
        <v>1</v>
      </c>
    </row>
    <row r="52" spans="1:15" ht="14.25" customHeight="1" x14ac:dyDescent="0.2">
      <c r="A52" s="41" t="s">
        <v>308</v>
      </c>
      <c r="B52" s="41" t="s">
        <v>268</v>
      </c>
      <c r="C52" s="32" t="s">
        <v>269</v>
      </c>
      <c r="D52" s="80">
        <v>0</v>
      </c>
      <c r="E52" s="80">
        <f t="shared" si="0"/>
        <v>6</v>
      </c>
      <c r="F52" s="80">
        <f t="shared" si="1"/>
        <v>0</v>
      </c>
      <c r="G52" s="80">
        <v>0</v>
      </c>
      <c r="H52" s="96">
        <f t="shared" si="2"/>
        <v>6</v>
      </c>
      <c r="I52" s="81">
        <f t="shared" si="3"/>
        <v>1</v>
      </c>
    </row>
    <row r="53" spans="1:15" ht="14.25" customHeight="1" x14ac:dyDescent="0.2">
      <c r="A53" s="41" t="s">
        <v>337</v>
      </c>
      <c r="B53" s="41" t="s">
        <v>267</v>
      </c>
      <c r="C53" s="32"/>
      <c r="D53" s="80">
        <v>1</v>
      </c>
      <c r="E53" s="80">
        <f t="shared" si="0"/>
        <v>6</v>
      </c>
      <c r="F53" s="80">
        <f t="shared" si="1"/>
        <v>0</v>
      </c>
      <c r="G53" s="80">
        <v>0</v>
      </c>
      <c r="H53" s="96">
        <f t="shared" si="2"/>
        <v>7</v>
      </c>
      <c r="I53" s="81">
        <f t="shared" si="3"/>
        <v>1</v>
      </c>
      <c r="O53" t="s">
        <v>701</v>
      </c>
    </row>
    <row r="54" spans="1:15" ht="14.25" customHeight="1" x14ac:dyDescent="0.2">
      <c r="A54" s="41" t="s">
        <v>324</v>
      </c>
      <c r="B54" s="41" t="s">
        <v>268</v>
      </c>
      <c r="C54" s="32"/>
      <c r="D54" s="80">
        <v>0</v>
      </c>
      <c r="E54" s="80">
        <f t="shared" si="0"/>
        <v>6</v>
      </c>
      <c r="F54" s="80">
        <f t="shared" si="1"/>
        <v>1</v>
      </c>
      <c r="G54" s="80">
        <v>0</v>
      </c>
      <c r="H54" s="96">
        <f t="shared" si="2"/>
        <v>7</v>
      </c>
      <c r="I54" s="81">
        <f t="shared" si="3"/>
        <v>1</v>
      </c>
      <c r="N54" t="s">
        <v>308</v>
      </c>
      <c r="O54" t="s">
        <v>705</v>
      </c>
    </row>
    <row r="55" spans="1:15" ht="14.25" customHeight="1" x14ac:dyDescent="0.2">
      <c r="A55" s="41" t="s">
        <v>710</v>
      </c>
      <c r="B55" s="41" t="s">
        <v>269</v>
      </c>
      <c r="C55" s="32" t="s">
        <v>267</v>
      </c>
      <c r="D55" s="80">
        <v>0</v>
      </c>
      <c r="E55" s="80">
        <f t="shared" si="0"/>
        <v>6</v>
      </c>
      <c r="F55" s="80">
        <f t="shared" si="1"/>
        <v>1</v>
      </c>
      <c r="G55" s="80">
        <v>0</v>
      </c>
      <c r="H55" s="96">
        <f t="shared" si="2"/>
        <v>7</v>
      </c>
      <c r="I55" s="81">
        <f t="shared" si="3"/>
        <v>1</v>
      </c>
      <c r="N55" t="s">
        <v>292</v>
      </c>
    </row>
    <row r="56" spans="1:15" ht="14.25" customHeight="1" x14ac:dyDescent="0.2">
      <c r="A56" s="41" t="s">
        <v>295</v>
      </c>
      <c r="B56" s="41" t="s">
        <v>269</v>
      </c>
      <c r="C56" s="32" t="s">
        <v>267</v>
      </c>
      <c r="D56" s="80">
        <v>0</v>
      </c>
      <c r="E56" s="80">
        <f t="shared" si="0"/>
        <v>6</v>
      </c>
      <c r="F56" s="80">
        <f t="shared" si="1"/>
        <v>0</v>
      </c>
      <c r="G56" s="80">
        <v>0</v>
      </c>
      <c r="H56" s="96">
        <f t="shared" si="2"/>
        <v>6</v>
      </c>
      <c r="I56" s="81">
        <f t="shared" si="3"/>
        <v>1</v>
      </c>
      <c r="O56" t="s">
        <v>702</v>
      </c>
    </row>
    <row r="57" spans="1:15" ht="14.25" customHeight="1" x14ac:dyDescent="0.2">
      <c r="A57" s="41" t="s">
        <v>292</v>
      </c>
      <c r="B57" s="41" t="s">
        <v>269</v>
      </c>
      <c r="C57" s="32"/>
      <c r="D57" s="80">
        <v>0</v>
      </c>
      <c r="E57" s="80">
        <f t="shared" si="0"/>
        <v>6</v>
      </c>
      <c r="F57" s="80">
        <f t="shared" si="1"/>
        <v>0</v>
      </c>
      <c r="G57" s="80">
        <v>0</v>
      </c>
      <c r="H57" s="96">
        <f t="shared" si="2"/>
        <v>6</v>
      </c>
      <c r="I57" s="81">
        <f t="shared" si="3"/>
        <v>1</v>
      </c>
    </row>
    <row r="58" spans="1:15" ht="14.25" customHeight="1" x14ac:dyDescent="0.2">
      <c r="A58" s="41" t="s">
        <v>293</v>
      </c>
      <c r="B58" s="41" t="s">
        <v>270</v>
      </c>
      <c r="C58" s="32"/>
      <c r="D58" s="80">
        <v>0</v>
      </c>
      <c r="E58" s="80">
        <f t="shared" si="0"/>
        <v>2</v>
      </c>
      <c r="F58" s="80">
        <f t="shared" si="1"/>
        <v>2</v>
      </c>
      <c r="G58" s="80">
        <v>0</v>
      </c>
      <c r="H58" s="96">
        <f t="shared" si="2"/>
        <v>4</v>
      </c>
      <c r="I58" s="81">
        <f t="shared" si="3"/>
        <v>0</v>
      </c>
      <c r="N58" t="s">
        <v>339</v>
      </c>
      <c r="O58" t="s">
        <v>703</v>
      </c>
    </row>
    <row r="59" spans="1:15" ht="14.25" customHeight="1" x14ac:dyDescent="0.2">
      <c r="A59" s="41" t="s">
        <v>318</v>
      </c>
      <c r="B59" s="41" t="s">
        <v>270</v>
      </c>
      <c r="C59" s="32" t="s">
        <v>269</v>
      </c>
      <c r="D59" s="80">
        <v>0</v>
      </c>
      <c r="E59" s="80">
        <f t="shared" si="0"/>
        <v>6</v>
      </c>
      <c r="F59" s="80">
        <f t="shared" si="1"/>
        <v>1</v>
      </c>
      <c r="G59" s="80">
        <v>0</v>
      </c>
      <c r="H59" s="96">
        <f t="shared" si="2"/>
        <v>7</v>
      </c>
      <c r="I59" s="81">
        <f t="shared" si="3"/>
        <v>1</v>
      </c>
      <c r="N59" t="s">
        <v>317</v>
      </c>
    </row>
    <row r="60" spans="1:15" ht="14.25" customHeight="1" x14ac:dyDescent="0.2">
      <c r="A60" s="41" t="s">
        <v>294</v>
      </c>
      <c r="B60" s="41" t="s">
        <v>269</v>
      </c>
      <c r="C60" s="32"/>
      <c r="D60" s="80">
        <v>0</v>
      </c>
      <c r="E60" s="80">
        <f t="shared" si="0"/>
        <v>6</v>
      </c>
      <c r="F60" s="80">
        <f t="shared" si="1"/>
        <v>1</v>
      </c>
      <c r="G60" s="80">
        <v>0</v>
      </c>
      <c r="H60" s="96">
        <f t="shared" si="2"/>
        <v>7</v>
      </c>
      <c r="I60" s="81">
        <f t="shared" si="3"/>
        <v>1</v>
      </c>
      <c r="N60" t="s">
        <v>295</v>
      </c>
    </row>
    <row r="61" spans="1:15" ht="14.25" customHeight="1" x14ac:dyDescent="0.2">
      <c r="A61" s="41" t="s">
        <v>319</v>
      </c>
      <c r="B61" s="41" t="s">
        <v>270</v>
      </c>
      <c r="C61" s="32" t="s">
        <v>267</v>
      </c>
      <c r="D61" s="80">
        <v>2</v>
      </c>
      <c r="E61" s="80">
        <f t="shared" si="0"/>
        <v>6</v>
      </c>
      <c r="F61" s="80">
        <f t="shared" si="1"/>
        <v>2</v>
      </c>
      <c r="G61" s="80">
        <v>0</v>
      </c>
      <c r="H61" s="96">
        <f t="shared" si="2"/>
        <v>10</v>
      </c>
      <c r="I61" s="81">
        <f t="shared" si="3"/>
        <v>2</v>
      </c>
      <c r="N61" t="s">
        <v>320</v>
      </c>
    </row>
    <row r="62" spans="1:15" ht="14.25" customHeight="1" x14ac:dyDescent="0.2">
      <c r="A62" s="41" t="s">
        <v>301</v>
      </c>
      <c r="B62" s="41" t="s">
        <v>268</v>
      </c>
      <c r="C62" s="32" t="s">
        <v>269</v>
      </c>
      <c r="D62" s="80">
        <v>1</v>
      </c>
      <c r="E62" s="80">
        <f t="shared" si="0"/>
        <v>6</v>
      </c>
      <c r="F62" s="80">
        <f t="shared" si="1"/>
        <v>1</v>
      </c>
      <c r="G62" s="80">
        <v>0</v>
      </c>
      <c r="H62" s="96">
        <f t="shared" si="2"/>
        <v>8</v>
      </c>
      <c r="I62" s="81">
        <f t="shared" si="3"/>
        <v>1</v>
      </c>
      <c r="N62" t="s">
        <v>308</v>
      </c>
      <c r="O62" t="s">
        <v>705</v>
      </c>
    </row>
    <row r="63" spans="1:15" ht="14.25" customHeight="1" x14ac:dyDescent="0.2">
      <c r="A63" s="41" t="s">
        <v>143</v>
      </c>
      <c r="B63" s="41" t="s">
        <v>269</v>
      </c>
      <c r="C63" s="32" t="s">
        <v>266</v>
      </c>
      <c r="D63" s="80">
        <v>0</v>
      </c>
      <c r="E63" s="80">
        <f t="shared" si="0"/>
        <v>6</v>
      </c>
      <c r="F63" s="80">
        <f t="shared" si="1"/>
        <v>2</v>
      </c>
      <c r="G63" s="80">
        <v>0</v>
      </c>
      <c r="H63" s="96">
        <f t="shared" si="2"/>
        <v>8</v>
      </c>
      <c r="I63" s="81">
        <f t="shared" si="3"/>
        <v>1</v>
      </c>
      <c r="N63" t="s">
        <v>309</v>
      </c>
    </row>
    <row r="64" spans="1:15" ht="14.25" customHeight="1" x14ac:dyDescent="0.2">
      <c r="A64" s="41" t="s">
        <v>314</v>
      </c>
      <c r="B64" s="41" t="s">
        <v>270</v>
      </c>
      <c r="C64" s="32" t="s">
        <v>268</v>
      </c>
      <c r="D64" s="80">
        <v>0</v>
      </c>
      <c r="E64" s="80">
        <f t="shared" si="0"/>
        <v>6</v>
      </c>
      <c r="F64" s="80">
        <f t="shared" si="1"/>
        <v>1</v>
      </c>
      <c r="G64" s="80">
        <v>0</v>
      </c>
      <c r="H64" s="96">
        <f t="shared" si="2"/>
        <v>7</v>
      </c>
      <c r="I64" s="81">
        <f t="shared" si="3"/>
        <v>1</v>
      </c>
      <c r="N64" t="s">
        <v>312</v>
      </c>
    </row>
    <row r="65" spans="1:15" ht="14.25" customHeight="1" x14ac:dyDescent="0.2">
      <c r="A65" s="41" t="s">
        <v>291</v>
      </c>
      <c r="B65" s="41" t="s">
        <v>268</v>
      </c>
      <c r="C65" s="32" t="s">
        <v>267</v>
      </c>
      <c r="D65" s="80">
        <v>0</v>
      </c>
      <c r="E65" s="80">
        <f t="shared" si="0"/>
        <v>6</v>
      </c>
      <c r="F65" s="80">
        <f t="shared" si="1"/>
        <v>0</v>
      </c>
      <c r="G65" s="80">
        <v>0</v>
      </c>
      <c r="H65" s="96">
        <f t="shared" si="2"/>
        <v>6</v>
      </c>
      <c r="I65" s="81">
        <f t="shared" si="3"/>
        <v>1</v>
      </c>
    </row>
    <row r="66" spans="1:15" ht="14.25" customHeight="1" x14ac:dyDescent="0.2">
      <c r="A66" s="41" t="s">
        <v>296</v>
      </c>
      <c r="B66" s="41" t="s">
        <v>269</v>
      </c>
      <c r="C66" s="32" t="s">
        <v>271</v>
      </c>
      <c r="D66" s="80">
        <v>0</v>
      </c>
      <c r="E66" s="80">
        <f t="shared" si="0"/>
        <v>6</v>
      </c>
      <c r="F66" s="80">
        <f t="shared" si="1"/>
        <v>0</v>
      </c>
      <c r="G66" s="80">
        <v>0</v>
      </c>
      <c r="H66" s="96">
        <f t="shared" si="2"/>
        <v>6</v>
      </c>
      <c r="I66" s="81">
        <f t="shared" si="3"/>
        <v>1</v>
      </c>
    </row>
    <row r="67" spans="1:15" ht="14.25" customHeight="1" x14ac:dyDescent="0.2">
      <c r="A67" s="41" t="s">
        <v>698</v>
      </c>
      <c r="B67" s="41" t="s">
        <v>270</v>
      </c>
      <c r="C67" s="32" t="s">
        <v>271</v>
      </c>
      <c r="D67" s="80">
        <v>0</v>
      </c>
      <c r="E67" s="80">
        <f t="shared" si="0"/>
        <v>4</v>
      </c>
      <c r="F67" s="80">
        <f t="shared" si="1"/>
        <v>1</v>
      </c>
      <c r="G67" s="80">
        <v>0</v>
      </c>
      <c r="H67" s="96">
        <f t="shared" si="2"/>
        <v>5</v>
      </c>
      <c r="I67" s="81">
        <f t="shared" si="3"/>
        <v>1</v>
      </c>
      <c r="N67" t="s">
        <v>317</v>
      </c>
    </row>
    <row r="68" spans="1:15" ht="14.25" customHeight="1" x14ac:dyDescent="0.2">
      <c r="A68" s="41" t="s">
        <v>325</v>
      </c>
      <c r="B68" s="41" t="s">
        <v>270</v>
      </c>
      <c r="C68" s="32" t="s">
        <v>268</v>
      </c>
      <c r="D68" s="80">
        <v>1</v>
      </c>
      <c r="E68" s="80">
        <f t="shared" si="0"/>
        <v>6</v>
      </c>
      <c r="F68" s="80">
        <f t="shared" si="1"/>
        <v>0</v>
      </c>
      <c r="G68" s="80">
        <v>0</v>
      </c>
      <c r="H68" s="96">
        <f t="shared" si="2"/>
        <v>7</v>
      </c>
      <c r="I68" s="81">
        <f t="shared" si="3"/>
        <v>1</v>
      </c>
    </row>
    <row r="69" spans="1:15" ht="14.25" customHeight="1" x14ac:dyDescent="0.2">
      <c r="A69" s="41" t="s">
        <v>310</v>
      </c>
      <c r="B69" s="41" t="s">
        <v>269</v>
      </c>
      <c r="C69" s="32" t="s">
        <v>267</v>
      </c>
      <c r="D69" s="80">
        <v>0</v>
      </c>
      <c r="E69" s="80">
        <f t="shared" si="0"/>
        <v>6</v>
      </c>
      <c r="F69" s="80">
        <f t="shared" si="1"/>
        <v>2</v>
      </c>
      <c r="G69" s="80">
        <v>0</v>
      </c>
      <c r="H69" s="96">
        <f t="shared" si="2"/>
        <v>8</v>
      </c>
      <c r="I69" s="81">
        <f t="shared" si="3"/>
        <v>1</v>
      </c>
      <c r="N69" t="s">
        <v>340</v>
      </c>
    </row>
    <row r="70" spans="1:15" ht="14.25" customHeight="1" x14ac:dyDescent="0.2">
      <c r="A70" s="41" t="s">
        <v>302</v>
      </c>
      <c r="B70" s="41" t="s">
        <v>271</v>
      </c>
      <c r="C70" s="32"/>
      <c r="D70" s="80">
        <v>1</v>
      </c>
      <c r="E70" s="80">
        <f t="shared" si="0"/>
        <v>4</v>
      </c>
      <c r="F70" s="80">
        <f t="shared" si="1"/>
        <v>1</v>
      </c>
      <c r="G70" s="80">
        <v>0</v>
      </c>
      <c r="H70" s="96">
        <f t="shared" si="2"/>
        <v>6</v>
      </c>
      <c r="I70" s="81">
        <f t="shared" si="3"/>
        <v>1</v>
      </c>
      <c r="N70" t="s">
        <v>303</v>
      </c>
    </row>
    <row r="71" spans="1:15" ht="14.25" customHeight="1" x14ac:dyDescent="0.2">
      <c r="A71" s="41" t="s">
        <v>75</v>
      </c>
      <c r="B71" s="41" t="s">
        <v>266</v>
      </c>
      <c r="C71" s="32" t="s">
        <v>268</v>
      </c>
      <c r="D71" s="80">
        <v>0</v>
      </c>
      <c r="E71" s="80">
        <f t="shared" si="0"/>
        <v>6</v>
      </c>
      <c r="F71" s="80">
        <f t="shared" si="1"/>
        <v>0</v>
      </c>
      <c r="G71" s="80">
        <v>0</v>
      </c>
      <c r="H71" s="96">
        <f t="shared" si="2"/>
        <v>6</v>
      </c>
      <c r="I71" s="81">
        <f t="shared" si="3"/>
        <v>1</v>
      </c>
      <c r="O71" t="s">
        <v>707</v>
      </c>
    </row>
    <row r="72" spans="1:15" ht="14.25" customHeight="1" x14ac:dyDescent="0.2">
      <c r="A72" s="41" t="s">
        <v>297</v>
      </c>
      <c r="B72" s="41" t="s">
        <v>269</v>
      </c>
      <c r="C72" s="32" t="s">
        <v>267</v>
      </c>
      <c r="D72" s="80">
        <v>0</v>
      </c>
      <c r="E72" s="80">
        <f t="shared" ref="E72:E95" si="4">MAX(VLOOKUP(B72,$A$5:$D$21,4,FALSE), IF(ISNA(VLOOKUP(C72,$A$5:$D$21,4,FALSE)),0,VLOOKUP(C72,$A$5:$D$21,4,FALSE)))</f>
        <v>6</v>
      </c>
      <c r="F72" s="80">
        <f t="shared" si="1"/>
        <v>0</v>
      </c>
      <c r="G72" s="80">
        <v>0</v>
      </c>
      <c r="H72" s="96">
        <f t="shared" ref="H72:H95" si="5">D72+E72+F72+G72</f>
        <v>6</v>
      </c>
      <c r="I72" s="81">
        <f t="shared" ref="I72:I95" si="6">FLOOR(H72/5,1)</f>
        <v>1</v>
      </c>
    </row>
    <row r="73" spans="1:15" ht="14.25" customHeight="1" x14ac:dyDescent="0.2">
      <c r="A73" s="41" t="s">
        <v>304</v>
      </c>
      <c r="B73" s="41" t="s">
        <v>268</v>
      </c>
      <c r="C73" s="32" t="s">
        <v>271</v>
      </c>
      <c r="D73" s="80">
        <v>0</v>
      </c>
      <c r="E73" s="80">
        <f t="shared" si="4"/>
        <v>6</v>
      </c>
      <c r="F73" s="80">
        <f t="shared" si="1"/>
        <v>1</v>
      </c>
      <c r="G73" s="80">
        <v>0</v>
      </c>
      <c r="H73" s="96">
        <f t="shared" si="5"/>
        <v>7</v>
      </c>
      <c r="I73" s="81">
        <f t="shared" si="6"/>
        <v>1</v>
      </c>
      <c r="N73" t="s">
        <v>303</v>
      </c>
    </row>
    <row r="74" spans="1:15" ht="14.25" customHeight="1" x14ac:dyDescent="0.2">
      <c r="A74" s="41" t="s">
        <v>317</v>
      </c>
      <c r="B74" s="41" t="s">
        <v>270</v>
      </c>
      <c r="C74" s="32" t="s">
        <v>269</v>
      </c>
      <c r="D74" s="80">
        <v>1</v>
      </c>
      <c r="E74" s="80">
        <f t="shared" si="4"/>
        <v>6</v>
      </c>
      <c r="F74" s="80">
        <f t="shared" si="1"/>
        <v>0</v>
      </c>
      <c r="G74" s="80">
        <v>0</v>
      </c>
      <c r="H74" s="96">
        <f t="shared" si="5"/>
        <v>7</v>
      </c>
      <c r="I74" s="81">
        <f t="shared" si="6"/>
        <v>1</v>
      </c>
      <c r="O74" t="s">
        <v>706</v>
      </c>
    </row>
    <row r="75" spans="1:15" ht="14.25" customHeight="1" x14ac:dyDescent="0.2">
      <c r="A75" s="41" t="s">
        <v>321</v>
      </c>
      <c r="B75" s="41" t="s">
        <v>269</v>
      </c>
      <c r="C75" s="32" t="s">
        <v>267</v>
      </c>
      <c r="D75" s="80">
        <v>1</v>
      </c>
      <c r="E75" s="80">
        <f t="shared" si="4"/>
        <v>6</v>
      </c>
      <c r="F75" s="80">
        <f t="shared" si="1"/>
        <v>1</v>
      </c>
      <c r="G75" s="80">
        <v>0</v>
      </c>
      <c r="H75" s="96">
        <f t="shared" si="5"/>
        <v>8</v>
      </c>
      <c r="I75" s="81">
        <f t="shared" si="6"/>
        <v>1</v>
      </c>
      <c r="N75" t="s">
        <v>295</v>
      </c>
    </row>
    <row r="76" spans="1:15" ht="14.25" customHeight="1" x14ac:dyDescent="0.2">
      <c r="A76" s="41" t="s">
        <v>326</v>
      </c>
      <c r="B76" s="41" t="s">
        <v>270</v>
      </c>
      <c r="C76" s="32"/>
      <c r="D76" s="80">
        <v>1</v>
      </c>
      <c r="E76" s="80">
        <f t="shared" si="4"/>
        <v>2</v>
      </c>
      <c r="F76" s="80">
        <f t="shared" si="1"/>
        <v>1</v>
      </c>
      <c r="G76" s="80">
        <v>0</v>
      </c>
      <c r="H76" s="96">
        <f t="shared" si="5"/>
        <v>4</v>
      </c>
      <c r="I76" s="81">
        <f t="shared" si="6"/>
        <v>0</v>
      </c>
      <c r="N76" t="s">
        <v>325</v>
      </c>
    </row>
    <row r="77" spans="1:15" ht="14.25" customHeight="1" x14ac:dyDescent="0.2">
      <c r="A77" s="41" t="s">
        <v>327</v>
      </c>
      <c r="B77" s="41" t="s">
        <v>268</v>
      </c>
      <c r="C77" s="32"/>
      <c r="D77" s="80">
        <v>0</v>
      </c>
      <c r="E77" s="80">
        <f t="shared" si="4"/>
        <v>6</v>
      </c>
      <c r="F77" s="80">
        <f t="shared" si="1"/>
        <v>1</v>
      </c>
      <c r="G77" s="80">
        <v>0</v>
      </c>
      <c r="H77" s="96">
        <f t="shared" si="5"/>
        <v>7</v>
      </c>
      <c r="I77" s="81">
        <f t="shared" si="6"/>
        <v>1</v>
      </c>
      <c r="N77" t="s">
        <v>328</v>
      </c>
    </row>
    <row r="78" spans="1:15" ht="14.25" customHeight="1" x14ac:dyDescent="0.2">
      <c r="A78" s="41" t="s">
        <v>329</v>
      </c>
      <c r="B78" s="41" t="s">
        <v>268</v>
      </c>
      <c r="C78" s="32" t="s">
        <v>271</v>
      </c>
      <c r="D78" s="80">
        <v>0</v>
      </c>
      <c r="E78" s="80">
        <f t="shared" si="4"/>
        <v>6</v>
      </c>
      <c r="F78" s="80">
        <f t="shared" si="1"/>
        <v>1</v>
      </c>
      <c r="G78" s="80">
        <v>0</v>
      </c>
      <c r="H78" s="96">
        <f t="shared" si="5"/>
        <v>7</v>
      </c>
      <c r="I78" s="81">
        <f t="shared" si="6"/>
        <v>1</v>
      </c>
      <c r="N78" t="s">
        <v>328</v>
      </c>
    </row>
    <row r="79" spans="1:15" ht="14.25" customHeight="1" x14ac:dyDescent="0.2">
      <c r="A79" s="41" t="s">
        <v>298</v>
      </c>
      <c r="B79" s="41" t="s">
        <v>267</v>
      </c>
      <c r="C79" s="32" t="s">
        <v>271</v>
      </c>
      <c r="D79" s="80">
        <v>0</v>
      </c>
      <c r="E79" s="80">
        <f t="shared" si="4"/>
        <v>6</v>
      </c>
      <c r="F79" s="80">
        <f t="shared" si="1"/>
        <v>0</v>
      </c>
      <c r="G79" s="80">
        <v>0</v>
      </c>
      <c r="H79" s="96">
        <f t="shared" si="5"/>
        <v>6</v>
      </c>
      <c r="I79" s="81">
        <f t="shared" si="6"/>
        <v>1</v>
      </c>
    </row>
    <row r="80" spans="1:15" ht="14.25" customHeight="1" x14ac:dyDescent="0.2">
      <c r="A80" s="41" t="s">
        <v>315</v>
      </c>
      <c r="B80" s="41" t="s">
        <v>270</v>
      </c>
      <c r="C80" s="32" t="s">
        <v>266</v>
      </c>
      <c r="D80" s="80">
        <v>1</v>
      </c>
      <c r="E80" s="80">
        <f t="shared" si="4"/>
        <v>2</v>
      </c>
      <c r="F80" s="80">
        <f t="shared" si="1"/>
        <v>1</v>
      </c>
      <c r="G80" s="80">
        <v>0</v>
      </c>
      <c r="H80" s="96">
        <f t="shared" si="5"/>
        <v>4</v>
      </c>
      <c r="I80" s="81">
        <f t="shared" si="6"/>
        <v>0</v>
      </c>
      <c r="N80" t="s">
        <v>316</v>
      </c>
    </row>
    <row r="81" spans="1:15" ht="14.25" customHeight="1" x14ac:dyDescent="0.2">
      <c r="A81" s="41" t="s">
        <v>328</v>
      </c>
      <c r="B81" s="41" t="s">
        <v>268</v>
      </c>
      <c r="C81" s="32"/>
      <c r="D81" s="80">
        <v>0</v>
      </c>
      <c r="E81" s="80">
        <f t="shared" si="4"/>
        <v>6</v>
      </c>
      <c r="F81" s="80">
        <f t="shared" si="1"/>
        <v>0</v>
      </c>
      <c r="G81" s="80">
        <v>0</v>
      </c>
      <c r="H81" s="96">
        <f t="shared" si="5"/>
        <v>6</v>
      </c>
      <c r="I81" s="81">
        <f t="shared" si="6"/>
        <v>1</v>
      </c>
    </row>
    <row r="82" spans="1:15" ht="14.25" customHeight="1" x14ac:dyDescent="0.2">
      <c r="A82" s="41" t="s">
        <v>330</v>
      </c>
      <c r="B82" s="41" t="s">
        <v>268</v>
      </c>
      <c r="C82" s="32"/>
      <c r="D82" s="80">
        <v>0</v>
      </c>
      <c r="E82" s="80">
        <f t="shared" si="4"/>
        <v>6</v>
      </c>
      <c r="F82" s="80">
        <f t="shared" si="1"/>
        <v>0</v>
      </c>
      <c r="G82" s="80">
        <v>0</v>
      </c>
      <c r="H82" s="96">
        <f t="shared" si="5"/>
        <v>6</v>
      </c>
      <c r="I82" s="81">
        <f t="shared" si="6"/>
        <v>1</v>
      </c>
    </row>
    <row r="83" spans="1:15" ht="14.25" customHeight="1" x14ac:dyDescent="0.2">
      <c r="A83" s="41" t="s">
        <v>331</v>
      </c>
      <c r="B83" s="41" t="s">
        <v>269</v>
      </c>
      <c r="C83" s="32" t="s">
        <v>267</v>
      </c>
      <c r="D83" s="80">
        <v>0</v>
      </c>
      <c r="E83" s="80">
        <f t="shared" si="4"/>
        <v>6</v>
      </c>
      <c r="F83" s="80">
        <f t="shared" si="1"/>
        <v>0</v>
      </c>
      <c r="G83" s="80">
        <v>0</v>
      </c>
      <c r="H83" s="96">
        <f t="shared" si="5"/>
        <v>6</v>
      </c>
      <c r="I83" s="81">
        <f t="shared" si="6"/>
        <v>1</v>
      </c>
    </row>
    <row r="84" spans="1:15" ht="14.25" customHeight="1" x14ac:dyDescent="0.2">
      <c r="A84" s="41" t="s">
        <v>322</v>
      </c>
      <c r="B84" s="41" t="s">
        <v>270</v>
      </c>
      <c r="C84" s="32" t="s">
        <v>267</v>
      </c>
      <c r="D84" s="80">
        <v>1</v>
      </c>
      <c r="E84" s="80">
        <f t="shared" si="4"/>
        <v>6</v>
      </c>
      <c r="F84" s="80">
        <f t="shared" si="1"/>
        <v>1</v>
      </c>
      <c r="G84" s="80">
        <v>0</v>
      </c>
      <c r="H84" s="96">
        <f t="shared" si="5"/>
        <v>8</v>
      </c>
      <c r="I84" s="81">
        <f t="shared" si="6"/>
        <v>1</v>
      </c>
      <c r="N84" t="s">
        <v>317</v>
      </c>
    </row>
    <row r="85" spans="1:15" ht="14.25" customHeight="1" x14ac:dyDescent="0.2">
      <c r="A85" s="41" t="s">
        <v>332</v>
      </c>
      <c r="B85" s="41" t="s">
        <v>267</v>
      </c>
      <c r="C85" s="32"/>
      <c r="D85" s="80">
        <v>1</v>
      </c>
      <c r="E85" s="80">
        <f t="shared" si="4"/>
        <v>6</v>
      </c>
      <c r="F85" s="80">
        <f t="shared" si="1"/>
        <v>1</v>
      </c>
      <c r="G85" s="80">
        <v>0</v>
      </c>
      <c r="H85" s="96">
        <f t="shared" si="5"/>
        <v>8</v>
      </c>
      <c r="I85" s="81">
        <f t="shared" si="6"/>
        <v>1</v>
      </c>
      <c r="N85" t="s">
        <v>295</v>
      </c>
    </row>
    <row r="86" spans="1:15" ht="14.25" customHeight="1" x14ac:dyDescent="0.2">
      <c r="A86" s="41" t="s">
        <v>311</v>
      </c>
      <c r="B86" s="41" t="s">
        <v>269</v>
      </c>
      <c r="C86" s="32" t="s">
        <v>271</v>
      </c>
      <c r="D86" s="80">
        <v>0</v>
      </c>
      <c r="E86" s="80">
        <f t="shared" si="4"/>
        <v>6</v>
      </c>
      <c r="F86" s="80">
        <f t="shared" si="1"/>
        <v>0</v>
      </c>
      <c r="G86" s="80">
        <v>0</v>
      </c>
      <c r="H86" s="96">
        <f t="shared" si="5"/>
        <v>6</v>
      </c>
      <c r="I86" s="81">
        <f t="shared" si="6"/>
        <v>1</v>
      </c>
    </row>
    <row r="87" spans="1:15" ht="14.25" customHeight="1" x14ac:dyDescent="0.2">
      <c r="A87" s="41" t="s">
        <v>333</v>
      </c>
      <c r="B87" s="41" t="s">
        <v>271</v>
      </c>
      <c r="C87" s="32"/>
      <c r="D87" s="80">
        <v>0</v>
      </c>
      <c r="E87" s="80">
        <f t="shared" si="4"/>
        <v>4</v>
      </c>
      <c r="F87" s="80">
        <f t="shared" si="1"/>
        <v>1</v>
      </c>
      <c r="G87" s="80">
        <v>0</v>
      </c>
      <c r="H87" s="96">
        <f t="shared" si="5"/>
        <v>5</v>
      </c>
      <c r="I87" s="81">
        <f t="shared" si="6"/>
        <v>1</v>
      </c>
      <c r="N87" t="s">
        <v>303</v>
      </c>
    </row>
    <row r="88" spans="1:15" ht="14.25" customHeight="1" x14ac:dyDescent="0.2">
      <c r="A88" s="41" t="s">
        <v>323</v>
      </c>
      <c r="B88" s="41" t="s">
        <v>269</v>
      </c>
      <c r="C88" s="32" t="s">
        <v>267</v>
      </c>
      <c r="D88" s="80">
        <v>0</v>
      </c>
      <c r="E88" s="80">
        <f t="shared" si="4"/>
        <v>6</v>
      </c>
      <c r="F88" s="80">
        <f t="shared" si="1"/>
        <v>0</v>
      </c>
      <c r="G88" s="80">
        <v>0</v>
      </c>
      <c r="H88" s="96">
        <f t="shared" si="5"/>
        <v>6</v>
      </c>
      <c r="I88" s="81">
        <f t="shared" si="6"/>
        <v>1</v>
      </c>
    </row>
    <row r="89" spans="1:15" x14ac:dyDescent="0.2">
      <c r="A89" s="41" t="s">
        <v>691</v>
      </c>
      <c r="B89" s="41" t="s">
        <v>266</v>
      </c>
      <c r="C89" s="32"/>
      <c r="D89" s="80">
        <v>0</v>
      </c>
      <c r="E89" s="80">
        <f t="shared" si="4"/>
        <v>2</v>
      </c>
      <c r="F89" s="80">
        <f t="shared" si="1"/>
        <v>1</v>
      </c>
      <c r="G89" s="80">
        <v>0</v>
      </c>
      <c r="H89" s="96">
        <f t="shared" si="5"/>
        <v>3</v>
      </c>
      <c r="I89" s="81">
        <f t="shared" si="6"/>
        <v>0</v>
      </c>
      <c r="N89" t="s">
        <v>75</v>
      </c>
      <c r="O89" t="s">
        <v>708</v>
      </c>
    </row>
    <row r="90" spans="1:15" x14ac:dyDescent="0.2">
      <c r="A90" s="41" t="s">
        <v>692</v>
      </c>
      <c r="B90" s="41" t="s">
        <v>266</v>
      </c>
      <c r="C90" s="32"/>
      <c r="D90" s="80">
        <v>2</v>
      </c>
      <c r="E90" s="80">
        <f t="shared" si="4"/>
        <v>2</v>
      </c>
      <c r="F90" s="80">
        <f t="shared" si="1"/>
        <v>1</v>
      </c>
      <c r="G90" s="80">
        <v>0</v>
      </c>
      <c r="H90" s="96">
        <f t="shared" si="5"/>
        <v>5</v>
      </c>
      <c r="I90" s="81">
        <f t="shared" si="6"/>
        <v>1</v>
      </c>
      <c r="N90" t="s">
        <v>75</v>
      </c>
      <c r="O90" t="s">
        <v>708</v>
      </c>
    </row>
    <row r="91" spans="1:15" x14ac:dyDescent="0.2">
      <c r="A91" s="41" t="s">
        <v>696</v>
      </c>
      <c r="B91" s="41" t="s">
        <v>268</v>
      </c>
      <c r="C91" s="32"/>
      <c r="D91" s="80">
        <v>1</v>
      </c>
      <c r="E91" s="80">
        <f t="shared" si="4"/>
        <v>6</v>
      </c>
      <c r="F91" s="80">
        <f t="shared" ref="F91:F95" si="7">SkillCombine(N91,$A$40:$I$95)</f>
        <v>1</v>
      </c>
      <c r="G91" s="80">
        <v>0</v>
      </c>
      <c r="H91" s="96">
        <f t="shared" si="5"/>
        <v>8</v>
      </c>
      <c r="I91" s="81">
        <f t="shared" si="6"/>
        <v>1</v>
      </c>
      <c r="N91" t="s">
        <v>86</v>
      </c>
      <c r="O91" t="s">
        <v>708</v>
      </c>
    </row>
    <row r="92" spans="1:15" x14ac:dyDescent="0.2">
      <c r="A92" s="41" t="s">
        <v>697</v>
      </c>
      <c r="B92" s="41" t="s">
        <v>268</v>
      </c>
      <c r="C92" s="32"/>
      <c r="D92" s="80">
        <v>0</v>
      </c>
      <c r="E92" s="80">
        <f t="shared" si="4"/>
        <v>6</v>
      </c>
      <c r="F92" s="80">
        <f t="shared" si="7"/>
        <v>1</v>
      </c>
      <c r="G92" s="80">
        <v>0</v>
      </c>
      <c r="H92" s="96">
        <f t="shared" si="5"/>
        <v>7</v>
      </c>
      <c r="I92" s="81">
        <f t="shared" si="6"/>
        <v>1</v>
      </c>
      <c r="N92" t="s">
        <v>86</v>
      </c>
      <c r="O92" t="s">
        <v>708</v>
      </c>
    </row>
    <row r="93" spans="1:15" x14ac:dyDescent="0.2">
      <c r="A93" s="41" t="s">
        <v>693</v>
      </c>
      <c r="B93" s="41" t="s">
        <v>266</v>
      </c>
      <c r="C93" s="32"/>
      <c r="D93" s="80">
        <v>1</v>
      </c>
      <c r="E93" s="80">
        <f t="shared" si="4"/>
        <v>2</v>
      </c>
      <c r="F93" s="80">
        <f t="shared" si="7"/>
        <v>1</v>
      </c>
      <c r="G93" s="80">
        <v>0</v>
      </c>
      <c r="H93" s="96">
        <f t="shared" si="5"/>
        <v>4</v>
      </c>
      <c r="I93" s="81">
        <f t="shared" si="6"/>
        <v>0</v>
      </c>
      <c r="N93" t="s">
        <v>75</v>
      </c>
      <c r="O93" t="s">
        <v>708</v>
      </c>
    </row>
    <row r="94" spans="1:15" x14ac:dyDescent="0.2">
      <c r="A94" s="41" t="s">
        <v>695</v>
      </c>
      <c r="B94" s="41" t="s">
        <v>266</v>
      </c>
      <c r="C94" s="32"/>
      <c r="D94" s="80">
        <v>0</v>
      </c>
      <c r="E94" s="80">
        <f t="shared" si="4"/>
        <v>2</v>
      </c>
      <c r="F94" s="80">
        <f t="shared" si="7"/>
        <v>1</v>
      </c>
      <c r="G94" s="80">
        <v>0</v>
      </c>
      <c r="H94" s="96">
        <f t="shared" si="5"/>
        <v>3</v>
      </c>
      <c r="I94" s="81">
        <f t="shared" si="6"/>
        <v>0</v>
      </c>
      <c r="N94" t="s">
        <v>75</v>
      </c>
      <c r="O94" t="s">
        <v>708</v>
      </c>
    </row>
    <row r="95" spans="1:15" ht="16" thickBot="1" x14ac:dyDescent="0.25">
      <c r="A95" s="43" t="s">
        <v>694</v>
      </c>
      <c r="B95" s="43" t="s">
        <v>266</v>
      </c>
      <c r="C95" s="16"/>
      <c r="D95" s="75">
        <v>0</v>
      </c>
      <c r="E95" s="75">
        <f t="shared" si="4"/>
        <v>2</v>
      </c>
      <c r="F95" s="75">
        <f t="shared" si="7"/>
        <v>1</v>
      </c>
      <c r="G95" s="75">
        <v>0</v>
      </c>
      <c r="H95" s="97">
        <f t="shared" si="5"/>
        <v>3</v>
      </c>
      <c r="I95" s="76">
        <f t="shared" si="6"/>
        <v>0</v>
      </c>
      <c r="N95" t="s">
        <v>75</v>
      </c>
      <c r="O95" t="s">
        <v>708</v>
      </c>
    </row>
    <row r="96" spans="1:15" ht="16" thickBot="1" x14ac:dyDescent="0.25">
      <c r="C96" s="43" t="s">
        <v>284</v>
      </c>
      <c r="D96" s="16">
        <f>SUM(D40:D95)</f>
        <v>21</v>
      </c>
    </row>
    <row r="97" spans="1:15" ht="16" thickBot="1" x14ac:dyDescent="0.25"/>
    <row r="98" spans="1:15" ht="16" thickBot="1" x14ac:dyDescent="0.25">
      <c r="A98" s="53" t="s">
        <v>712</v>
      </c>
      <c r="B98" s="54" t="s">
        <v>290</v>
      </c>
      <c r="C98" s="58" t="s">
        <v>0</v>
      </c>
      <c r="F98" s="53" t="s">
        <v>272</v>
      </c>
      <c r="G98" s="54"/>
      <c r="H98" s="54" t="s">
        <v>290</v>
      </c>
      <c r="I98" s="58" t="s">
        <v>0</v>
      </c>
      <c r="N98" t="s">
        <v>714</v>
      </c>
      <c r="O98" t="s">
        <v>716</v>
      </c>
    </row>
    <row r="99" spans="1:15" x14ac:dyDescent="0.2">
      <c r="A99" s="41" t="s">
        <v>715</v>
      </c>
      <c r="B99" s="42" t="s">
        <v>267</v>
      </c>
      <c r="C99" s="57">
        <v>0</v>
      </c>
      <c r="F99" s="41" t="s">
        <v>768</v>
      </c>
      <c r="G99" s="42"/>
      <c r="H99" s="42"/>
      <c r="I99" s="57">
        <v>1</v>
      </c>
      <c r="N99">
        <v>2</v>
      </c>
    </row>
    <row r="100" spans="1:15" x14ac:dyDescent="0.2">
      <c r="A100" s="41" t="s">
        <v>717</v>
      </c>
      <c r="B100" s="42" t="s">
        <v>269</v>
      </c>
      <c r="C100" s="57">
        <v>0</v>
      </c>
      <c r="F100" s="41"/>
      <c r="G100" s="42"/>
      <c r="H100" s="42"/>
      <c r="I100" s="57"/>
      <c r="N100">
        <v>3</v>
      </c>
      <c r="O100" t="s">
        <v>297</v>
      </c>
    </row>
    <row r="101" spans="1:15" x14ac:dyDescent="0.2">
      <c r="A101" s="41" t="s">
        <v>719</v>
      </c>
      <c r="B101" s="42" t="s">
        <v>266</v>
      </c>
      <c r="C101" s="57">
        <v>0</v>
      </c>
      <c r="F101" s="41"/>
      <c r="G101" s="42"/>
      <c r="H101" s="42"/>
      <c r="I101" s="57"/>
      <c r="N101">
        <v>2</v>
      </c>
      <c r="O101" t="s">
        <v>718</v>
      </c>
    </row>
    <row r="102" spans="1:15" x14ac:dyDescent="0.2">
      <c r="A102" s="41" t="s">
        <v>718</v>
      </c>
      <c r="B102" s="42" t="s">
        <v>266</v>
      </c>
      <c r="C102" s="57">
        <v>0</v>
      </c>
      <c r="F102" s="41"/>
      <c r="G102" s="42"/>
      <c r="H102" s="42"/>
      <c r="I102" s="57"/>
      <c r="N102">
        <v>1</v>
      </c>
    </row>
    <row r="103" spans="1:15" x14ac:dyDescent="0.2">
      <c r="A103" s="41" t="s">
        <v>720</v>
      </c>
      <c r="B103" s="42" t="s">
        <v>266</v>
      </c>
      <c r="C103" s="57">
        <v>0</v>
      </c>
      <c r="F103" s="41"/>
      <c r="G103" s="42"/>
      <c r="H103" s="42"/>
      <c r="I103" s="57"/>
      <c r="N103">
        <v>1</v>
      </c>
    </row>
    <row r="104" spans="1:15" x14ac:dyDescent="0.2">
      <c r="A104" s="41" t="s">
        <v>703</v>
      </c>
      <c r="B104" s="42" t="s">
        <v>267</v>
      </c>
      <c r="C104" s="57">
        <v>0</v>
      </c>
      <c r="F104" s="41"/>
      <c r="G104" s="42"/>
      <c r="H104" s="42"/>
      <c r="I104" s="57"/>
      <c r="N104">
        <v>1</v>
      </c>
    </row>
    <row r="105" spans="1:15" x14ac:dyDescent="0.2">
      <c r="A105" s="41" t="s">
        <v>721</v>
      </c>
      <c r="B105" s="42" t="s">
        <v>271</v>
      </c>
      <c r="C105" s="57">
        <v>0</v>
      </c>
      <c r="F105" s="41"/>
      <c r="G105" s="42"/>
      <c r="H105" s="42"/>
      <c r="I105" s="57"/>
      <c r="N105">
        <v>1</v>
      </c>
    </row>
    <row r="106" spans="1:15" x14ac:dyDescent="0.2">
      <c r="A106" s="41" t="s">
        <v>722</v>
      </c>
      <c r="B106" s="42" t="s">
        <v>269</v>
      </c>
      <c r="C106" s="57">
        <v>1</v>
      </c>
      <c r="D106" t="s">
        <v>769</v>
      </c>
      <c r="F106" s="41"/>
      <c r="G106" s="42"/>
      <c r="H106" s="42"/>
      <c r="I106" s="57"/>
      <c r="N106">
        <v>3</v>
      </c>
    </row>
    <row r="107" spans="1:15" x14ac:dyDescent="0.2">
      <c r="A107" s="41" t="s">
        <v>704</v>
      </c>
      <c r="B107" s="42" t="s">
        <v>268</v>
      </c>
      <c r="C107" s="57">
        <v>0</v>
      </c>
      <c r="F107" s="41"/>
      <c r="G107" s="42"/>
      <c r="H107" s="42"/>
      <c r="I107" s="57"/>
      <c r="N107">
        <v>1</v>
      </c>
      <c r="O107" t="s">
        <v>303</v>
      </c>
    </row>
    <row r="108" spans="1:15" x14ac:dyDescent="0.2">
      <c r="A108" s="41" t="s">
        <v>324</v>
      </c>
      <c r="B108" s="42" t="s">
        <v>268</v>
      </c>
      <c r="C108" s="57">
        <v>0</v>
      </c>
      <c r="F108" s="41"/>
      <c r="G108" s="42"/>
      <c r="H108" s="42"/>
      <c r="I108" s="57"/>
      <c r="N108">
        <v>1</v>
      </c>
      <c r="O108" t="s">
        <v>723</v>
      </c>
    </row>
    <row r="109" spans="1:15" x14ac:dyDescent="0.2">
      <c r="A109" s="41" t="s">
        <v>724</v>
      </c>
      <c r="B109" s="42" t="s">
        <v>270</v>
      </c>
      <c r="C109" s="57">
        <v>0</v>
      </c>
      <c r="F109" s="41"/>
      <c r="G109" s="42"/>
      <c r="H109" s="42"/>
      <c r="I109" s="57"/>
      <c r="N109">
        <v>1</v>
      </c>
    </row>
    <row r="110" spans="1:15" x14ac:dyDescent="0.2">
      <c r="A110" s="41" t="s">
        <v>725</v>
      </c>
      <c r="B110" s="42" t="s">
        <v>269</v>
      </c>
      <c r="C110" s="57">
        <v>0</v>
      </c>
      <c r="F110" s="41"/>
      <c r="G110" s="42"/>
      <c r="H110" s="42"/>
      <c r="I110" s="57"/>
      <c r="N110">
        <v>2</v>
      </c>
      <c r="O110" t="s">
        <v>722</v>
      </c>
    </row>
    <row r="111" spans="1:15" x14ac:dyDescent="0.2">
      <c r="A111" s="41" t="s">
        <v>726</v>
      </c>
      <c r="B111" s="42" t="s">
        <v>270</v>
      </c>
      <c r="C111" s="57">
        <v>0</v>
      </c>
      <c r="F111" s="41"/>
      <c r="G111" s="42"/>
      <c r="H111" s="42"/>
      <c r="I111" s="57"/>
      <c r="N111">
        <v>1</v>
      </c>
    </row>
    <row r="112" spans="1:15" x14ac:dyDescent="0.2">
      <c r="A112" s="41" t="s">
        <v>727</v>
      </c>
      <c r="B112" s="42" t="s">
        <v>271</v>
      </c>
      <c r="C112" s="57">
        <v>0</v>
      </c>
      <c r="F112" s="41"/>
      <c r="G112" s="42"/>
      <c r="H112" s="42"/>
      <c r="I112" s="57"/>
      <c r="N112">
        <v>1</v>
      </c>
    </row>
    <row r="113" spans="1:15" x14ac:dyDescent="0.2">
      <c r="A113" s="41" t="s">
        <v>728</v>
      </c>
      <c r="B113" s="42" t="s">
        <v>268</v>
      </c>
      <c r="C113" s="57">
        <v>0</v>
      </c>
      <c r="F113" s="41"/>
      <c r="G113" s="42"/>
      <c r="H113" s="42"/>
      <c r="I113" s="57"/>
      <c r="N113">
        <v>2</v>
      </c>
    </row>
    <row r="114" spans="1:15" x14ac:dyDescent="0.2">
      <c r="A114" s="41" t="s">
        <v>729</v>
      </c>
      <c r="B114" s="42" t="s">
        <v>266</v>
      </c>
      <c r="C114" s="57">
        <v>0</v>
      </c>
      <c r="F114" s="41"/>
      <c r="G114" s="42"/>
      <c r="H114" s="42"/>
      <c r="I114" s="57"/>
      <c r="N114">
        <v>1</v>
      </c>
    </row>
    <row r="115" spans="1:15" x14ac:dyDescent="0.2">
      <c r="A115" s="41" t="s">
        <v>731</v>
      </c>
      <c r="B115" s="42" t="s">
        <v>269</v>
      </c>
      <c r="C115" s="57">
        <v>0</v>
      </c>
      <c r="F115" s="41"/>
      <c r="G115" s="42"/>
      <c r="H115" s="42"/>
      <c r="I115" s="57"/>
      <c r="N115">
        <v>1</v>
      </c>
      <c r="O115" t="s">
        <v>730</v>
      </c>
    </row>
    <row r="116" spans="1:15" x14ac:dyDescent="0.2">
      <c r="A116" s="41" t="s">
        <v>730</v>
      </c>
      <c r="B116" s="42" t="s">
        <v>269</v>
      </c>
      <c r="C116" s="57">
        <v>0</v>
      </c>
      <c r="F116" s="41"/>
      <c r="G116" s="42"/>
      <c r="H116" s="42"/>
      <c r="I116" s="57"/>
      <c r="N116">
        <v>2</v>
      </c>
    </row>
    <row r="117" spans="1:15" x14ac:dyDescent="0.2">
      <c r="A117" s="41" t="s">
        <v>733</v>
      </c>
      <c r="B117" s="42" t="s">
        <v>267</v>
      </c>
      <c r="C117" s="57">
        <v>0</v>
      </c>
      <c r="F117" s="41"/>
      <c r="G117" s="42"/>
      <c r="H117" s="42"/>
      <c r="I117" s="57"/>
      <c r="N117">
        <v>3</v>
      </c>
      <c r="O117" t="s">
        <v>732</v>
      </c>
    </row>
    <row r="118" spans="1:15" x14ac:dyDescent="0.2">
      <c r="A118" s="41" t="s">
        <v>734</v>
      </c>
      <c r="B118" s="42" t="s">
        <v>268</v>
      </c>
      <c r="C118" s="57">
        <v>0</v>
      </c>
      <c r="F118" s="41"/>
      <c r="G118" s="42"/>
      <c r="H118" s="42"/>
      <c r="I118" s="57"/>
      <c r="N118">
        <v>2</v>
      </c>
    </row>
    <row r="119" spans="1:15" x14ac:dyDescent="0.2">
      <c r="A119" s="41" t="s">
        <v>735</v>
      </c>
      <c r="B119" s="42" t="s">
        <v>660</v>
      </c>
      <c r="C119" s="57">
        <v>0</v>
      </c>
      <c r="F119" s="41"/>
      <c r="G119" s="42"/>
      <c r="H119" s="42"/>
      <c r="I119" s="57"/>
      <c r="N119">
        <v>5</v>
      </c>
    </row>
    <row r="120" spans="1:15" x14ac:dyDescent="0.2">
      <c r="A120" s="41" t="s">
        <v>736</v>
      </c>
      <c r="B120" s="42" t="s">
        <v>271</v>
      </c>
      <c r="C120" s="57">
        <v>0</v>
      </c>
      <c r="F120" s="41"/>
      <c r="G120" s="42"/>
      <c r="H120" s="42"/>
      <c r="I120" s="57"/>
      <c r="N120">
        <v>2</v>
      </c>
    </row>
    <row r="121" spans="1:15" x14ac:dyDescent="0.2">
      <c r="A121" s="41" t="s">
        <v>737</v>
      </c>
      <c r="B121" s="42" t="s">
        <v>267</v>
      </c>
      <c r="C121" s="57">
        <v>0</v>
      </c>
      <c r="F121" s="41"/>
      <c r="G121" s="42"/>
      <c r="H121" s="42"/>
      <c r="I121" s="57"/>
      <c r="N121">
        <v>2</v>
      </c>
    </row>
    <row r="122" spans="1:15" x14ac:dyDescent="0.2">
      <c r="A122" s="41" t="s">
        <v>738</v>
      </c>
      <c r="B122" s="42" t="s">
        <v>266</v>
      </c>
      <c r="C122" s="57">
        <v>1</v>
      </c>
      <c r="F122" s="41"/>
      <c r="G122" s="42"/>
      <c r="H122" s="42"/>
      <c r="I122" s="57"/>
      <c r="N122">
        <v>2</v>
      </c>
    </row>
    <row r="123" spans="1:15" x14ac:dyDescent="0.2">
      <c r="A123" s="41" t="s">
        <v>739</v>
      </c>
      <c r="B123" s="42" t="s">
        <v>266</v>
      </c>
      <c r="C123" s="57">
        <v>0</v>
      </c>
      <c r="F123" s="41"/>
      <c r="G123" s="42"/>
      <c r="H123" s="42"/>
      <c r="I123" s="57"/>
      <c r="N123">
        <v>2</v>
      </c>
    </row>
    <row r="124" spans="1:15" x14ac:dyDescent="0.2">
      <c r="A124" s="41" t="s">
        <v>740</v>
      </c>
      <c r="B124" s="42" t="s">
        <v>269</v>
      </c>
      <c r="C124" s="57">
        <v>0</v>
      </c>
      <c r="F124" s="41"/>
      <c r="G124" s="42"/>
      <c r="H124" s="42"/>
      <c r="I124" s="57"/>
      <c r="N124">
        <v>2</v>
      </c>
    </row>
    <row r="125" spans="1:15" x14ac:dyDescent="0.2">
      <c r="A125" s="41" t="s">
        <v>741</v>
      </c>
      <c r="B125" s="42" t="s">
        <v>268</v>
      </c>
      <c r="C125" s="57">
        <v>0</v>
      </c>
      <c r="F125" s="41"/>
      <c r="G125" s="42"/>
      <c r="H125" s="42"/>
      <c r="I125" s="57"/>
      <c r="N125">
        <v>2</v>
      </c>
    </row>
    <row r="126" spans="1:15" x14ac:dyDescent="0.2">
      <c r="A126" s="41" t="s">
        <v>706</v>
      </c>
      <c r="B126" s="42" t="s">
        <v>267</v>
      </c>
      <c r="C126" s="57">
        <v>0</v>
      </c>
      <c r="F126" s="41"/>
      <c r="G126" s="42"/>
      <c r="H126" s="42"/>
      <c r="I126" s="57"/>
      <c r="N126">
        <v>3</v>
      </c>
    </row>
    <row r="127" spans="1:15" x14ac:dyDescent="0.2">
      <c r="A127" s="41" t="s">
        <v>742</v>
      </c>
      <c r="B127" s="42" t="s">
        <v>267</v>
      </c>
      <c r="C127" s="57">
        <v>0</v>
      </c>
      <c r="F127" s="41"/>
      <c r="G127" s="42"/>
      <c r="H127" s="42"/>
      <c r="I127" s="57"/>
      <c r="N127">
        <v>1</v>
      </c>
      <c r="O127" t="s">
        <v>291</v>
      </c>
    </row>
    <row r="128" spans="1:15" x14ac:dyDescent="0.2">
      <c r="A128" s="41" t="s">
        <v>743</v>
      </c>
      <c r="B128" s="42" t="s">
        <v>271</v>
      </c>
      <c r="C128" s="57">
        <v>0</v>
      </c>
      <c r="F128" s="41"/>
      <c r="G128" s="42"/>
      <c r="H128" s="42"/>
      <c r="I128" s="57"/>
      <c r="N128">
        <v>1</v>
      </c>
    </row>
    <row r="129" spans="1:15" x14ac:dyDescent="0.2">
      <c r="A129" s="41" t="s">
        <v>711</v>
      </c>
      <c r="B129" s="42" t="s">
        <v>268</v>
      </c>
      <c r="C129" s="57">
        <v>2</v>
      </c>
      <c r="F129" s="41"/>
      <c r="G129" s="42"/>
      <c r="H129" s="42"/>
      <c r="I129" s="57"/>
      <c r="N129">
        <v>1</v>
      </c>
    </row>
    <row r="130" spans="1:15" x14ac:dyDescent="0.2">
      <c r="A130" s="41" t="s">
        <v>745</v>
      </c>
      <c r="B130" s="42" t="s">
        <v>266</v>
      </c>
      <c r="C130" s="57">
        <v>0</v>
      </c>
      <c r="F130" s="41"/>
      <c r="G130" s="42"/>
      <c r="H130" s="42"/>
      <c r="I130" s="57"/>
      <c r="N130">
        <v>1</v>
      </c>
      <c r="O130" t="s">
        <v>744</v>
      </c>
    </row>
    <row r="131" spans="1:15" x14ac:dyDescent="0.2">
      <c r="A131" s="41" t="s">
        <v>744</v>
      </c>
      <c r="B131" s="42" t="s">
        <v>266</v>
      </c>
      <c r="C131" s="57">
        <v>0</v>
      </c>
      <c r="F131" s="41"/>
      <c r="G131" s="42"/>
      <c r="H131" s="42"/>
      <c r="I131" s="57"/>
      <c r="N131">
        <v>2</v>
      </c>
      <c r="O131" t="s">
        <v>746</v>
      </c>
    </row>
    <row r="132" spans="1:15" x14ac:dyDescent="0.2">
      <c r="A132" s="41" t="s">
        <v>766</v>
      </c>
      <c r="B132" s="42" t="s">
        <v>266</v>
      </c>
      <c r="C132" s="57">
        <v>0</v>
      </c>
      <c r="F132" s="41"/>
      <c r="G132" s="42"/>
      <c r="H132" s="42"/>
      <c r="I132" s="57"/>
    </row>
    <row r="133" spans="1:15" x14ac:dyDescent="0.2">
      <c r="A133" s="41" t="s">
        <v>767</v>
      </c>
      <c r="B133" s="42" t="s">
        <v>268</v>
      </c>
      <c r="C133" s="57">
        <v>0</v>
      </c>
      <c r="F133" s="41"/>
      <c r="G133" s="42"/>
      <c r="H133" s="42"/>
      <c r="I133" s="57"/>
    </row>
    <row r="134" spans="1:15" ht="16" thickBot="1" x14ac:dyDescent="0.25">
      <c r="A134" s="43" t="s">
        <v>705</v>
      </c>
      <c r="B134" s="44" t="s">
        <v>267</v>
      </c>
      <c r="C134" s="56">
        <v>0</v>
      </c>
      <c r="F134" s="43"/>
      <c r="G134" s="44"/>
      <c r="H134" s="44"/>
      <c r="I134" s="56"/>
      <c r="N134">
        <v>1</v>
      </c>
      <c r="O134" t="s">
        <v>742</v>
      </c>
    </row>
    <row r="135" spans="1:15" ht="16" thickBot="1" x14ac:dyDescent="0.25">
      <c r="B135" s="83" t="s">
        <v>284</v>
      </c>
      <c r="C135" s="55">
        <f>SUM(C99:C134)</f>
        <v>4</v>
      </c>
    </row>
  </sheetData>
  <sortState ref="A40:O93">
    <sortCondition ref="A40"/>
  </sortState>
  <dataValidations count="4">
    <dataValidation type="list" allowBlank="1" showInputMessage="1" showErrorMessage="1" sqref="B28:B30">
      <formula1>OFFSET(INDIRECT(VLOOKUP(A28, INDIRECT(VLOOKUP(A28,MeleeWeapons, 2,FALSE)),9,FALSE)),0,0,ROWS(INDIRECT(VLOOKUP(A28, INDIRECT(VLOOKUP(A28,MeleeWeapons, 2,FALSE)),9,FALSE))),1)</formula1>
    </dataValidation>
    <dataValidation type="list" allowBlank="1" showInputMessage="1" showErrorMessage="1" sqref="B33:B34">
      <formula1>OFFSET(INDIRECT(VLOOKUP(A33, INDIRECT(VLOOKUP(A33,RangedWeapons, 2,FALSE)),9,FALSE)),0,0,ROWS(INDIRECT(VLOOKUP(A33, INDIRECT(VLOOKUP(A33,RangedWeapons, 2,FALSE)),9,FALSE))),1)</formula1>
    </dataValidation>
    <dataValidation type="list" allowBlank="1" showInputMessage="1" showErrorMessage="1" sqref="B37">
      <formula1>OFFSET(INDIRECT(VLOOKUP(A37, INDIRECT(VLOOKUP(A37,ShieldWeapons, 2,FALSE)),9,FALSE)),0,0,ROWS(INDIRECT(VLOOKUP(A37, INDIRECT(VLOOKUP(A37,ShieldWeapons, 2,FALSE)),9,FALSE))),1)</formula1>
    </dataValidation>
    <dataValidation type="list" allowBlank="1" showInputMessage="1" showErrorMessage="1" sqref="B24">
      <formula1>OFFSET(INDIRECT(VLOOKUP(A24,armor, 5,FALSE)),0,0,ROWS(INDIRECT(VLOOKUP(A24,armor, 5,FALSE))),1)</formula1>
    </dataValidation>
  </dataValidations>
  <pageMargins left="0.7" right="0.7" top="0.75" bottom="0.75" header="0.3" footer="0.3"/>
  <pageSetup paperSize="9" scale="35" fitToHeight="0" orientation="portrait"/>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GMScreen!$A$90:$A$103</xm:f>
          </x14:formula1>
          <xm:sqref>A24</xm:sqref>
        </x14:dataValidation>
        <x14:dataValidation type="list" allowBlank="1" showInputMessage="1" showErrorMessage="1">
          <x14:formula1>
            <xm:f>GMScreen!$Y$85:$Y$100</xm:f>
          </x14:formula1>
          <xm:sqref>A28:A30</xm:sqref>
        </x14:dataValidation>
        <x14:dataValidation type="list" allowBlank="1" showInputMessage="1" showErrorMessage="1">
          <x14:formula1>
            <xm:f>GMScreen!$AE$85:$AE$91</xm:f>
          </x14:formula1>
          <xm:sqref>A33:A34</xm:sqref>
        </x14:dataValidation>
        <x14:dataValidation type="list" allowBlank="1" showInputMessage="1" showErrorMessage="1">
          <x14:formula1>
            <xm:f>GMScreen!$AE$96:$AE$100</xm:f>
          </x14:formula1>
          <xm:sqref>A37</xm:sqref>
        </x14:dataValidation>
        <x14:dataValidation type="list" allowBlank="1" showInputMessage="1" showErrorMessage="1">
          <x14:formula1>
            <xm:f>GMScreen!$A$2:$A$8</xm:f>
          </x14:formula1>
          <xm:sqref>H1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I127"/>
  <sheetViews>
    <sheetView topLeftCell="A46" zoomScale="80" zoomScaleNormal="80" zoomScalePageLayoutView="80" workbookViewId="0">
      <selection activeCell="S78" sqref="S78"/>
    </sheetView>
  </sheetViews>
  <sheetFormatPr baseColWidth="10" defaultColWidth="8.83203125" defaultRowHeight="15" x14ac:dyDescent="0.2"/>
  <cols>
    <col min="1" max="1" width="11.6640625" customWidth="1"/>
    <col min="18" max="18" width="14" customWidth="1"/>
    <col min="19" max="19" width="14.1640625" customWidth="1"/>
    <col min="20" max="20" width="17.83203125" customWidth="1"/>
  </cols>
  <sheetData>
    <row r="1" spans="1:20" x14ac:dyDescent="0.2">
      <c r="A1" t="s">
        <v>685</v>
      </c>
    </row>
    <row r="2" spans="1:20" x14ac:dyDescent="0.2">
      <c r="A2" t="s">
        <v>179</v>
      </c>
      <c r="B2">
        <v>0</v>
      </c>
      <c r="C2" t="s">
        <v>660</v>
      </c>
    </row>
    <row r="3" spans="1:20" x14ac:dyDescent="0.2">
      <c r="A3" t="s">
        <v>686</v>
      </c>
      <c r="B3">
        <v>2</v>
      </c>
      <c r="C3" t="s">
        <v>269</v>
      </c>
      <c r="I3" t="s">
        <v>747</v>
      </c>
      <c r="J3" t="s">
        <v>748</v>
      </c>
      <c r="K3" t="s">
        <v>750</v>
      </c>
      <c r="L3" t="s">
        <v>751</v>
      </c>
      <c r="M3" t="s">
        <v>752</v>
      </c>
      <c r="R3" t="s">
        <v>754</v>
      </c>
      <c r="S3" t="s">
        <v>527</v>
      </c>
      <c r="T3" t="s">
        <v>380</v>
      </c>
    </row>
    <row r="4" spans="1:20" x14ac:dyDescent="0.2">
      <c r="A4" t="s">
        <v>687</v>
      </c>
      <c r="B4">
        <v>2</v>
      </c>
      <c r="C4" t="s">
        <v>270</v>
      </c>
      <c r="G4" t="s">
        <v>270</v>
      </c>
      <c r="H4">
        <v>10</v>
      </c>
      <c r="I4" s="63">
        <f>Healing($H$4,1)</f>
        <v>0.5</v>
      </c>
      <c r="J4" s="63">
        <f>Healing($H$4,3)</f>
        <v>8</v>
      </c>
      <c r="K4" s="63">
        <f>Healing($H$4,$H$4/2)</f>
        <v>7</v>
      </c>
      <c r="L4" s="63">
        <f>Healing($H$4,$H$4)</f>
        <v>18.5</v>
      </c>
      <c r="M4">
        <f>Healing($H$4,POWER(2,$H$5)*_xlfn.CEILING.PRECISE($H$4/2,1))</f>
        <v>39108.5</v>
      </c>
      <c r="R4">
        <f>M4/24</f>
        <v>1629.5208333333333</v>
      </c>
      <c r="S4">
        <f>R4/60</f>
        <v>27.158680555555556</v>
      </c>
      <c r="T4">
        <f>S4/60</f>
        <v>0.45264467592592594</v>
      </c>
    </row>
    <row r="5" spans="1:20" x14ac:dyDescent="0.2">
      <c r="A5" t="s">
        <v>247</v>
      </c>
      <c r="B5">
        <v>2</v>
      </c>
      <c r="C5" t="s">
        <v>267</v>
      </c>
      <c r="G5" t="s">
        <v>753</v>
      </c>
      <c r="H5">
        <v>12</v>
      </c>
      <c r="I5" s="63">
        <f t="shared" ref="I5:I24" si="0">Healing($H$4,1)</f>
        <v>1.5</v>
      </c>
      <c r="J5" s="63">
        <f t="shared" ref="J5:J24" si="1">Healing($H$4,3)</f>
        <v>5.5</v>
      </c>
      <c r="K5" s="63">
        <f t="shared" ref="K5:K24" si="2">Healing($H$4,$H$4/2)</f>
        <v>6</v>
      </c>
      <c r="L5" s="63">
        <f t="shared" ref="L5:L24" si="3">Healing($H$4,$H$4)</f>
        <v>17</v>
      </c>
      <c r="M5">
        <f t="shared" ref="M5:M24" si="4">Healing($H$4,POWER(2,$H$5)*_xlfn.CEILING.PRECISE($H$4/2,1))</f>
        <v>38839.5</v>
      </c>
    </row>
    <row r="6" spans="1:20" x14ac:dyDescent="0.2">
      <c r="A6" t="s">
        <v>688</v>
      </c>
      <c r="B6">
        <v>2</v>
      </c>
      <c r="C6" t="s">
        <v>268</v>
      </c>
      <c r="I6" s="63">
        <f t="shared" si="0"/>
        <v>3</v>
      </c>
      <c r="J6" s="63">
        <f t="shared" si="1"/>
        <v>4</v>
      </c>
      <c r="K6" s="63">
        <f t="shared" si="2"/>
        <v>7.5</v>
      </c>
      <c r="L6" s="63">
        <f t="shared" si="3"/>
        <v>15.5</v>
      </c>
      <c r="M6">
        <f t="shared" si="4"/>
        <v>39012</v>
      </c>
    </row>
    <row r="7" spans="1:20" x14ac:dyDescent="0.2">
      <c r="A7" t="s">
        <v>689</v>
      </c>
      <c r="B7">
        <v>2</v>
      </c>
      <c r="C7" t="s">
        <v>271</v>
      </c>
      <c r="I7" s="63">
        <f t="shared" si="0"/>
        <v>2</v>
      </c>
      <c r="J7" s="63">
        <f t="shared" si="1"/>
        <v>6.5</v>
      </c>
      <c r="K7" s="63">
        <f t="shared" si="2"/>
        <v>12</v>
      </c>
      <c r="L7" s="63">
        <f t="shared" si="3"/>
        <v>20.5</v>
      </c>
      <c r="M7">
        <f t="shared" si="4"/>
        <v>38782.5</v>
      </c>
    </row>
    <row r="8" spans="1:20" x14ac:dyDescent="0.2">
      <c r="A8" t="s">
        <v>180</v>
      </c>
      <c r="B8">
        <v>2</v>
      </c>
      <c r="C8" t="s">
        <v>266</v>
      </c>
      <c r="I8" s="63">
        <f t="shared" si="0"/>
        <v>2</v>
      </c>
      <c r="J8" s="63">
        <f t="shared" si="1"/>
        <v>5.5</v>
      </c>
      <c r="K8" s="63">
        <f t="shared" si="2"/>
        <v>11.5</v>
      </c>
      <c r="L8" s="63">
        <f t="shared" si="3"/>
        <v>20.5</v>
      </c>
      <c r="M8">
        <f t="shared" si="4"/>
        <v>39016.5</v>
      </c>
    </row>
    <row r="9" spans="1:20" x14ac:dyDescent="0.2">
      <c r="I9" s="63">
        <f t="shared" si="0"/>
        <v>0</v>
      </c>
      <c r="J9" s="63">
        <f t="shared" si="1"/>
        <v>6.5</v>
      </c>
      <c r="K9" s="63">
        <f t="shared" si="2"/>
        <v>6</v>
      </c>
      <c r="L9" s="63">
        <f t="shared" si="3"/>
        <v>12</v>
      </c>
      <c r="M9">
        <f t="shared" si="4"/>
        <v>38918.5</v>
      </c>
    </row>
    <row r="10" spans="1:20" ht="16" thickBot="1" x14ac:dyDescent="0.25">
      <c r="A10" t="s">
        <v>690</v>
      </c>
      <c r="I10" s="63">
        <f t="shared" si="0"/>
        <v>0</v>
      </c>
      <c r="J10" s="63">
        <f t="shared" si="1"/>
        <v>6</v>
      </c>
      <c r="K10" s="63">
        <f t="shared" si="2"/>
        <v>11</v>
      </c>
      <c r="L10" s="63">
        <f t="shared" si="3"/>
        <v>18</v>
      </c>
      <c r="M10">
        <f t="shared" si="4"/>
        <v>39020.5</v>
      </c>
      <c r="N10">
        <f>SUM(I4:I10)</f>
        <v>9</v>
      </c>
      <c r="O10">
        <f>SUM(J4:J10)</f>
        <v>42</v>
      </c>
      <c r="P10">
        <f>SUM(K4:K10)</f>
        <v>61</v>
      </c>
      <c r="Q10">
        <f>SUM(L4:L10)</f>
        <v>122</v>
      </c>
      <c r="R10">
        <f>SUM(M4:M10)</f>
        <v>272698</v>
      </c>
      <c r="S10" t="s">
        <v>749</v>
      </c>
    </row>
    <row r="11" spans="1:20" ht="16" thickBot="1" x14ac:dyDescent="0.25">
      <c r="A11" s="12" t="s">
        <v>678</v>
      </c>
      <c r="B11" s="13" t="s">
        <v>679</v>
      </c>
      <c r="I11" s="64">
        <f t="shared" si="0"/>
        <v>3</v>
      </c>
      <c r="J11" s="64">
        <f t="shared" si="1"/>
        <v>6</v>
      </c>
      <c r="K11" s="64">
        <f t="shared" si="2"/>
        <v>7.5</v>
      </c>
      <c r="L11" s="64">
        <f t="shared" si="3"/>
        <v>21</v>
      </c>
      <c r="M11">
        <f t="shared" si="4"/>
        <v>39052</v>
      </c>
    </row>
    <row r="12" spans="1:20" ht="16" thickBot="1" x14ac:dyDescent="0.25">
      <c r="A12" s="14">
        <v>0</v>
      </c>
      <c r="B12" s="15">
        <v>0</v>
      </c>
      <c r="I12" s="64">
        <f t="shared" si="0"/>
        <v>3.5</v>
      </c>
      <c r="J12" s="64">
        <f t="shared" si="1"/>
        <v>7</v>
      </c>
      <c r="K12" s="64">
        <f t="shared" si="2"/>
        <v>12.5</v>
      </c>
      <c r="L12" s="64">
        <f t="shared" si="3"/>
        <v>24</v>
      </c>
      <c r="M12">
        <f t="shared" si="4"/>
        <v>38890.5</v>
      </c>
    </row>
    <row r="13" spans="1:20" ht="16" thickBot="1" x14ac:dyDescent="0.25">
      <c r="A13" s="14">
        <v>1</v>
      </c>
      <c r="B13" s="15">
        <v>0.25</v>
      </c>
      <c r="I13" s="64">
        <f t="shared" si="0"/>
        <v>3.5</v>
      </c>
      <c r="J13" s="64">
        <f t="shared" si="1"/>
        <v>8</v>
      </c>
      <c r="K13" s="64">
        <f t="shared" si="2"/>
        <v>11.5</v>
      </c>
      <c r="L13" s="64">
        <f t="shared" si="3"/>
        <v>13</v>
      </c>
      <c r="M13">
        <f t="shared" si="4"/>
        <v>39072.5</v>
      </c>
    </row>
    <row r="14" spans="1:20" ht="16" thickBot="1" x14ac:dyDescent="0.25">
      <c r="A14" s="14">
        <v>2</v>
      </c>
      <c r="B14" s="15">
        <v>0.5</v>
      </c>
      <c r="I14" s="64">
        <f t="shared" si="0"/>
        <v>0</v>
      </c>
      <c r="J14" s="64">
        <f t="shared" si="1"/>
        <v>6</v>
      </c>
      <c r="K14" s="64">
        <f t="shared" si="2"/>
        <v>8</v>
      </c>
      <c r="L14" s="64">
        <f t="shared" si="3"/>
        <v>16</v>
      </c>
      <c r="M14">
        <f t="shared" si="4"/>
        <v>38906.5</v>
      </c>
    </row>
    <row r="15" spans="1:20" ht="16" thickBot="1" x14ac:dyDescent="0.25">
      <c r="A15" s="14">
        <v>3</v>
      </c>
      <c r="B15" s="15">
        <v>1</v>
      </c>
      <c r="I15" s="64">
        <f t="shared" si="0"/>
        <v>3</v>
      </c>
      <c r="J15" s="64">
        <f t="shared" si="1"/>
        <v>9</v>
      </c>
      <c r="K15" s="64">
        <f t="shared" si="2"/>
        <v>9</v>
      </c>
      <c r="L15" s="64">
        <f t="shared" si="3"/>
        <v>18</v>
      </c>
      <c r="M15">
        <f t="shared" si="4"/>
        <v>39146</v>
      </c>
    </row>
    <row r="16" spans="1:20" ht="16" thickBot="1" x14ac:dyDescent="0.25">
      <c r="A16" s="14">
        <v>4</v>
      </c>
      <c r="B16" s="15">
        <v>2</v>
      </c>
      <c r="I16" s="64">
        <f t="shared" si="0"/>
        <v>2.5</v>
      </c>
      <c r="J16" s="64">
        <f t="shared" si="1"/>
        <v>5</v>
      </c>
      <c r="K16" s="64">
        <f t="shared" si="2"/>
        <v>8</v>
      </c>
      <c r="L16" s="64">
        <f t="shared" si="3"/>
        <v>24.5</v>
      </c>
      <c r="M16">
        <f t="shared" si="4"/>
        <v>38719</v>
      </c>
    </row>
    <row r="17" spans="1:28" ht="16" thickBot="1" x14ac:dyDescent="0.25">
      <c r="A17" s="14">
        <v>5</v>
      </c>
      <c r="B17" s="15">
        <v>4</v>
      </c>
      <c r="I17" s="64">
        <f t="shared" si="0"/>
        <v>0.5</v>
      </c>
      <c r="J17" s="64">
        <f t="shared" si="1"/>
        <v>9</v>
      </c>
      <c r="K17" s="64">
        <f t="shared" si="2"/>
        <v>4.5</v>
      </c>
      <c r="L17" s="64">
        <f t="shared" si="3"/>
        <v>14.5</v>
      </c>
      <c r="M17">
        <f t="shared" si="4"/>
        <v>38846.5</v>
      </c>
      <c r="N17">
        <f>SUM(I11:I17)</f>
        <v>16</v>
      </c>
      <c r="O17">
        <f>SUM(J11:J17)</f>
        <v>50</v>
      </c>
      <c r="P17">
        <f>SUM(K11:K17)</f>
        <v>61</v>
      </c>
      <c r="Q17">
        <f>SUM(L11:L17)</f>
        <v>131</v>
      </c>
      <c r="R17">
        <f>SUM(M11:M17)</f>
        <v>272633</v>
      </c>
      <c r="S17" t="s">
        <v>749</v>
      </c>
    </row>
    <row r="18" spans="1:28" ht="16" thickBot="1" x14ac:dyDescent="0.25">
      <c r="A18" s="14">
        <v>6</v>
      </c>
      <c r="B18" s="15">
        <v>8</v>
      </c>
      <c r="I18" s="65">
        <f t="shared" si="0"/>
        <v>3</v>
      </c>
      <c r="J18" s="65">
        <f t="shared" si="1"/>
        <v>3.5</v>
      </c>
      <c r="K18" s="65">
        <f t="shared" si="2"/>
        <v>9.5</v>
      </c>
      <c r="L18" s="65">
        <f t="shared" si="3"/>
        <v>19</v>
      </c>
      <c r="M18">
        <f t="shared" si="4"/>
        <v>39009.5</v>
      </c>
    </row>
    <row r="19" spans="1:28" ht="16" thickBot="1" x14ac:dyDescent="0.25">
      <c r="A19" s="14">
        <v>7</v>
      </c>
      <c r="B19" s="15">
        <v>16</v>
      </c>
      <c r="I19" s="65">
        <f t="shared" si="0"/>
        <v>2</v>
      </c>
      <c r="J19" s="65">
        <f t="shared" si="1"/>
        <v>8</v>
      </c>
      <c r="K19" s="65">
        <f t="shared" si="2"/>
        <v>12.5</v>
      </c>
      <c r="L19" s="65">
        <f t="shared" si="3"/>
        <v>20.5</v>
      </c>
      <c r="M19">
        <f t="shared" si="4"/>
        <v>39077</v>
      </c>
    </row>
    <row r="20" spans="1:28" ht="16" thickBot="1" x14ac:dyDescent="0.25">
      <c r="A20" s="14">
        <v>8</v>
      </c>
      <c r="B20" s="15">
        <v>32</v>
      </c>
      <c r="I20" s="65">
        <f t="shared" si="0"/>
        <v>1.5</v>
      </c>
      <c r="J20" s="65">
        <f t="shared" si="1"/>
        <v>1.5</v>
      </c>
      <c r="K20" s="65">
        <f t="shared" si="2"/>
        <v>11</v>
      </c>
      <c r="L20" s="65">
        <f t="shared" si="3"/>
        <v>15</v>
      </c>
      <c r="M20">
        <f t="shared" si="4"/>
        <v>38817.5</v>
      </c>
    </row>
    <row r="21" spans="1:28" ht="16" thickBot="1" x14ac:dyDescent="0.25">
      <c r="A21" s="14">
        <v>9</v>
      </c>
      <c r="B21" s="15">
        <v>64</v>
      </c>
      <c r="I21" s="65">
        <f t="shared" si="0"/>
        <v>3</v>
      </c>
      <c r="J21" s="65">
        <f t="shared" si="1"/>
        <v>5</v>
      </c>
      <c r="K21" s="65">
        <f t="shared" si="2"/>
        <v>11</v>
      </c>
      <c r="L21" s="65">
        <f t="shared" si="3"/>
        <v>24</v>
      </c>
      <c r="M21">
        <f t="shared" si="4"/>
        <v>38532.5</v>
      </c>
    </row>
    <row r="22" spans="1:28" ht="16" thickBot="1" x14ac:dyDescent="0.25">
      <c r="A22" s="14">
        <v>10</v>
      </c>
      <c r="B22" s="15">
        <v>128</v>
      </c>
      <c r="I22" s="65">
        <f t="shared" si="0"/>
        <v>0.5</v>
      </c>
      <c r="J22" s="65">
        <f t="shared" si="1"/>
        <v>8</v>
      </c>
      <c r="K22" s="65">
        <f t="shared" si="2"/>
        <v>12.5</v>
      </c>
      <c r="L22" s="65">
        <f t="shared" si="3"/>
        <v>14.5</v>
      </c>
      <c r="M22">
        <f t="shared" si="4"/>
        <v>38951</v>
      </c>
    </row>
    <row r="23" spans="1:28" x14ac:dyDescent="0.2">
      <c r="I23" s="65">
        <f t="shared" si="0"/>
        <v>3</v>
      </c>
      <c r="J23" s="65">
        <f t="shared" si="1"/>
        <v>1</v>
      </c>
      <c r="K23" s="65">
        <f t="shared" si="2"/>
        <v>10</v>
      </c>
      <c r="L23" s="65">
        <f t="shared" si="3"/>
        <v>19</v>
      </c>
      <c r="M23">
        <f t="shared" si="4"/>
        <v>39049.5</v>
      </c>
    </row>
    <row r="24" spans="1:28" x14ac:dyDescent="0.2">
      <c r="A24" t="s">
        <v>383</v>
      </c>
      <c r="I24" s="65">
        <f t="shared" si="0"/>
        <v>3.5</v>
      </c>
      <c r="J24" s="65">
        <f t="shared" si="1"/>
        <v>6</v>
      </c>
      <c r="K24" s="65">
        <f t="shared" si="2"/>
        <v>6.5</v>
      </c>
      <c r="L24" s="65">
        <f t="shared" si="3"/>
        <v>20</v>
      </c>
      <c r="M24">
        <f t="shared" si="4"/>
        <v>39113.5</v>
      </c>
      <c r="N24">
        <f>SUM(I18:I24)</f>
        <v>16.5</v>
      </c>
      <c r="O24">
        <f>SUM(J18:J24)</f>
        <v>33</v>
      </c>
      <c r="P24">
        <f>SUM(K18:K24)</f>
        <v>73</v>
      </c>
      <c r="Q24">
        <f>SUM(L18:L24)</f>
        <v>132</v>
      </c>
      <c r="R24">
        <f>SUM(M18:M24)</f>
        <v>272550.5</v>
      </c>
      <c r="S24" t="s">
        <v>749</v>
      </c>
      <c r="T24">
        <f>N10+N17+N24</f>
        <v>41.5</v>
      </c>
      <c r="U24">
        <f>O10+O17+O24</f>
        <v>125</v>
      </c>
      <c r="V24">
        <f>P10+P17+P24</f>
        <v>195</v>
      </c>
      <c r="W24">
        <f>Q10+Q17+Q24</f>
        <v>385</v>
      </c>
      <c r="X24" t="s">
        <v>284</v>
      </c>
    </row>
    <row r="25" spans="1:28" ht="16" thickBot="1" x14ac:dyDescent="0.25">
      <c r="A25" t="s">
        <v>402</v>
      </c>
      <c r="D25" t="s">
        <v>367</v>
      </c>
      <c r="I25" t="s">
        <v>434</v>
      </c>
      <c r="N25" t="s">
        <v>203</v>
      </c>
      <c r="S25" t="s">
        <v>387</v>
      </c>
      <c r="X25" t="s">
        <v>204</v>
      </c>
    </row>
    <row r="26" spans="1:28" ht="16" thickBot="1" x14ac:dyDescent="0.25">
      <c r="A26" s="17" t="s">
        <v>384</v>
      </c>
      <c r="B26" s="18" t="s">
        <v>385</v>
      </c>
      <c r="C26" s="19"/>
      <c r="D26" s="22"/>
      <c r="E26" s="18" t="s">
        <v>451</v>
      </c>
      <c r="F26" s="21" t="s">
        <v>97</v>
      </c>
      <c r="G26" s="21" t="s">
        <v>388</v>
      </c>
      <c r="H26" s="19"/>
      <c r="I26" s="20" t="s">
        <v>289</v>
      </c>
      <c r="J26" s="18" t="s">
        <v>344</v>
      </c>
      <c r="K26" s="21" t="s">
        <v>97</v>
      </c>
      <c r="L26" s="21" t="s">
        <v>388</v>
      </c>
      <c r="M26" s="19"/>
      <c r="N26" s="20" t="s">
        <v>289</v>
      </c>
      <c r="O26" s="18" t="s">
        <v>344</v>
      </c>
      <c r="P26" s="21" t="s">
        <v>97</v>
      </c>
      <c r="Q26" s="21" t="s">
        <v>388</v>
      </c>
      <c r="R26" s="19"/>
      <c r="S26" s="20" t="s">
        <v>289</v>
      </c>
      <c r="T26" s="18" t="s">
        <v>344</v>
      </c>
      <c r="U26" s="21" t="s">
        <v>97</v>
      </c>
      <c r="V26" s="21" t="s">
        <v>388</v>
      </c>
      <c r="W26" s="19"/>
      <c r="X26" s="20" t="s">
        <v>289</v>
      </c>
      <c r="Y26" s="18" t="s">
        <v>344</v>
      </c>
      <c r="Z26" s="21" t="s">
        <v>97</v>
      </c>
      <c r="AA26" s="21" t="s">
        <v>388</v>
      </c>
      <c r="AB26" s="19"/>
    </row>
    <row r="27" spans="1:28" ht="16" thickBot="1" x14ac:dyDescent="0.25">
      <c r="A27" s="23" t="s">
        <v>386</v>
      </c>
      <c r="B27" s="24">
        <v>8</v>
      </c>
      <c r="C27" s="19"/>
      <c r="D27" s="25" t="s">
        <v>452</v>
      </c>
      <c r="E27" s="24" t="s">
        <v>416</v>
      </c>
      <c r="F27" s="26">
        <v>10</v>
      </c>
      <c r="G27" s="26">
        <v>0</v>
      </c>
      <c r="H27" s="19"/>
      <c r="I27" s="25" t="s">
        <v>403</v>
      </c>
      <c r="J27" s="24" t="s">
        <v>404</v>
      </c>
      <c r="K27" s="26">
        <v>10</v>
      </c>
      <c r="L27" s="26">
        <v>0</v>
      </c>
      <c r="M27" s="19"/>
      <c r="N27" s="25" t="s">
        <v>655</v>
      </c>
      <c r="O27" s="24"/>
      <c r="P27" s="26">
        <v>10</v>
      </c>
      <c r="Q27" s="26">
        <v>0</v>
      </c>
      <c r="R27" s="19"/>
      <c r="S27" s="25" t="s">
        <v>483</v>
      </c>
      <c r="T27" s="24"/>
      <c r="U27" s="26">
        <v>10</v>
      </c>
      <c r="V27" s="26">
        <v>0</v>
      </c>
      <c r="W27" s="19"/>
      <c r="X27" s="25" t="s">
        <v>389</v>
      </c>
      <c r="Y27" s="24" t="s">
        <v>390</v>
      </c>
      <c r="Z27" s="26">
        <v>10</v>
      </c>
      <c r="AA27" s="26">
        <v>0</v>
      </c>
      <c r="AB27" s="19"/>
    </row>
    <row r="28" spans="1:28" ht="16" thickBot="1" x14ac:dyDescent="0.25">
      <c r="A28" s="23" t="s">
        <v>203</v>
      </c>
      <c r="B28" s="24">
        <v>2</v>
      </c>
      <c r="C28" s="19"/>
      <c r="D28" s="25" t="s">
        <v>103</v>
      </c>
      <c r="E28" s="24" t="s">
        <v>453</v>
      </c>
      <c r="F28" s="26">
        <v>15</v>
      </c>
      <c r="G28" s="26">
        <v>1</v>
      </c>
      <c r="H28" s="19"/>
      <c r="I28" s="25" t="s">
        <v>405</v>
      </c>
      <c r="J28" s="24" t="s">
        <v>406</v>
      </c>
      <c r="K28" s="26">
        <v>15</v>
      </c>
      <c r="L28" s="26">
        <v>1</v>
      </c>
      <c r="M28" s="19"/>
      <c r="N28" s="25" t="s">
        <v>656</v>
      </c>
      <c r="O28" s="25"/>
      <c r="P28" s="25">
        <v>10</v>
      </c>
      <c r="Q28" s="25">
        <v>0</v>
      </c>
      <c r="R28" s="19"/>
      <c r="S28" s="25" t="s">
        <v>484</v>
      </c>
      <c r="T28" s="24"/>
      <c r="U28" s="26">
        <v>15</v>
      </c>
      <c r="V28" s="26">
        <v>1</v>
      </c>
      <c r="W28" s="19"/>
      <c r="X28" s="25" t="s">
        <v>391</v>
      </c>
      <c r="Y28" s="24" t="s">
        <v>392</v>
      </c>
      <c r="Z28" s="26">
        <v>15</v>
      </c>
      <c r="AA28" s="26">
        <v>1</v>
      </c>
      <c r="AB28" s="19"/>
    </row>
    <row r="29" spans="1:28" ht="16" thickBot="1" x14ac:dyDescent="0.25">
      <c r="A29" s="23" t="s">
        <v>367</v>
      </c>
      <c r="B29" s="24">
        <v>10</v>
      </c>
      <c r="C29" s="19"/>
      <c r="D29" s="25" t="s">
        <v>99</v>
      </c>
      <c r="E29" s="24" t="s">
        <v>422</v>
      </c>
      <c r="F29" s="26">
        <v>20</v>
      </c>
      <c r="G29" s="26">
        <v>2</v>
      </c>
      <c r="H29" s="19"/>
      <c r="I29" s="25" t="s">
        <v>407</v>
      </c>
      <c r="J29" s="24" t="s">
        <v>408</v>
      </c>
      <c r="K29" s="26">
        <v>20</v>
      </c>
      <c r="L29" s="26">
        <v>2</v>
      </c>
      <c r="M29" s="19"/>
      <c r="N29" s="25" t="s">
        <v>435</v>
      </c>
      <c r="O29" s="24"/>
      <c r="P29" s="26">
        <v>15</v>
      </c>
      <c r="Q29" s="26">
        <v>1</v>
      </c>
      <c r="R29" s="19"/>
      <c r="S29" s="25" t="s">
        <v>485</v>
      </c>
      <c r="T29" s="24"/>
      <c r="U29" s="26">
        <v>20</v>
      </c>
      <c r="V29" s="26">
        <v>2</v>
      </c>
      <c r="W29" s="19"/>
      <c r="X29" s="25" t="s">
        <v>393</v>
      </c>
      <c r="Y29" s="24" t="s">
        <v>394</v>
      </c>
      <c r="Z29" s="26">
        <v>25</v>
      </c>
      <c r="AA29" s="26">
        <v>3</v>
      </c>
      <c r="AB29" s="19"/>
    </row>
    <row r="30" spans="1:28" ht="16" thickBot="1" x14ac:dyDescent="0.25">
      <c r="A30" s="23" t="s">
        <v>204</v>
      </c>
      <c r="B30" s="24">
        <v>0</v>
      </c>
      <c r="C30" s="19"/>
      <c r="D30" s="25" t="s">
        <v>100</v>
      </c>
      <c r="E30" s="24" t="s">
        <v>378</v>
      </c>
      <c r="F30" s="26">
        <v>25</v>
      </c>
      <c r="G30" s="26">
        <v>3</v>
      </c>
      <c r="H30" s="19"/>
      <c r="I30" s="25" t="s">
        <v>409</v>
      </c>
      <c r="J30" s="24" t="s">
        <v>410</v>
      </c>
      <c r="K30" s="26">
        <v>25</v>
      </c>
      <c r="L30" s="26">
        <v>3</v>
      </c>
      <c r="M30" s="19"/>
      <c r="N30" s="25" t="s">
        <v>436</v>
      </c>
      <c r="O30" s="24"/>
      <c r="P30" s="26">
        <v>20</v>
      </c>
      <c r="Q30" s="26">
        <v>2</v>
      </c>
      <c r="R30" s="19"/>
      <c r="S30" s="25" t="s">
        <v>486</v>
      </c>
      <c r="T30" s="24"/>
      <c r="U30" s="26">
        <v>25</v>
      </c>
      <c r="V30" s="26">
        <v>3</v>
      </c>
      <c r="W30" s="19"/>
      <c r="X30" s="25" t="s">
        <v>395</v>
      </c>
      <c r="Y30" s="24" t="s">
        <v>396</v>
      </c>
      <c r="Z30" s="26">
        <v>20</v>
      </c>
      <c r="AA30" s="26">
        <v>5</v>
      </c>
      <c r="AB30" s="19"/>
    </row>
    <row r="31" spans="1:28" ht="16" thickBot="1" x14ac:dyDescent="0.25">
      <c r="A31" s="23" t="s">
        <v>387</v>
      </c>
      <c r="B31" s="24">
        <v>6</v>
      </c>
      <c r="C31" s="19"/>
      <c r="D31" s="25" t="s">
        <v>98</v>
      </c>
      <c r="E31" s="24" t="s">
        <v>454</v>
      </c>
      <c r="F31" s="26">
        <v>30</v>
      </c>
      <c r="G31" s="26">
        <v>4</v>
      </c>
      <c r="H31" s="19"/>
      <c r="I31" s="25" t="s">
        <v>411</v>
      </c>
      <c r="J31" s="24" t="s">
        <v>412</v>
      </c>
      <c r="K31" s="26">
        <v>30</v>
      </c>
      <c r="L31" s="26">
        <v>4</v>
      </c>
      <c r="M31" s="19"/>
      <c r="N31" s="25" t="s">
        <v>437</v>
      </c>
      <c r="O31" s="24"/>
      <c r="P31" s="26">
        <v>25</v>
      </c>
      <c r="Q31" s="26">
        <v>3</v>
      </c>
      <c r="R31" s="19"/>
      <c r="S31" s="25" t="s">
        <v>487</v>
      </c>
      <c r="T31" s="24"/>
      <c r="U31" s="26">
        <v>30</v>
      </c>
      <c r="V31" s="26">
        <v>4</v>
      </c>
      <c r="W31" s="19"/>
      <c r="X31" s="25" t="s">
        <v>397</v>
      </c>
      <c r="Y31" s="24" t="s">
        <v>398</v>
      </c>
      <c r="Z31" s="26">
        <v>10</v>
      </c>
      <c r="AA31" s="26">
        <v>0</v>
      </c>
      <c r="AB31" s="19"/>
    </row>
    <row r="32" spans="1:28" ht="16" thickBot="1" x14ac:dyDescent="0.25">
      <c r="A32" s="23" t="s">
        <v>317</v>
      </c>
      <c r="B32" s="24">
        <v>4</v>
      </c>
      <c r="C32" s="19"/>
      <c r="D32" s="25" t="s">
        <v>102</v>
      </c>
      <c r="E32" s="24" t="s">
        <v>366</v>
      </c>
      <c r="F32" s="26">
        <v>35</v>
      </c>
      <c r="G32" s="26">
        <v>5</v>
      </c>
      <c r="H32" s="19"/>
      <c r="I32" s="25" t="s">
        <v>413</v>
      </c>
      <c r="J32" s="24" t="s">
        <v>414</v>
      </c>
      <c r="K32" s="26">
        <v>35</v>
      </c>
      <c r="L32" s="26">
        <v>5</v>
      </c>
      <c r="M32" s="19"/>
      <c r="N32" s="25" t="s">
        <v>438</v>
      </c>
      <c r="O32" s="24"/>
      <c r="P32" s="26">
        <v>30</v>
      </c>
      <c r="Q32" s="26">
        <v>4</v>
      </c>
      <c r="R32" s="19"/>
      <c r="S32" s="25" t="s">
        <v>488</v>
      </c>
      <c r="T32" s="24"/>
      <c r="U32" s="26">
        <v>35</v>
      </c>
      <c r="V32" s="26">
        <v>5</v>
      </c>
      <c r="W32" s="19"/>
      <c r="X32" s="25" t="s">
        <v>399</v>
      </c>
      <c r="Y32" s="24" t="s">
        <v>400</v>
      </c>
      <c r="Z32" s="26">
        <v>12</v>
      </c>
      <c r="AA32" s="26">
        <v>0</v>
      </c>
      <c r="AB32" s="19"/>
    </row>
    <row r="33" spans="1:32" ht="16" thickBot="1" x14ac:dyDescent="0.25">
      <c r="A33" s="19"/>
      <c r="B33" s="19"/>
      <c r="C33" s="19"/>
      <c r="D33" s="25" t="s">
        <v>101</v>
      </c>
      <c r="E33" s="24" t="s">
        <v>455</v>
      </c>
      <c r="F33" s="26">
        <v>40</v>
      </c>
      <c r="G33" s="26">
        <v>6</v>
      </c>
      <c r="H33" s="19"/>
      <c r="I33" s="25" t="s">
        <v>415</v>
      </c>
      <c r="J33" s="24" t="s">
        <v>416</v>
      </c>
      <c r="K33" s="26">
        <v>40</v>
      </c>
      <c r="L33" s="26">
        <v>6</v>
      </c>
      <c r="M33" s="19"/>
      <c r="N33" s="25" t="s">
        <v>439</v>
      </c>
      <c r="O33" s="24"/>
      <c r="P33" s="26">
        <v>35</v>
      </c>
      <c r="Q33" s="26">
        <v>5</v>
      </c>
      <c r="R33" s="19"/>
      <c r="S33" s="25" t="s">
        <v>489</v>
      </c>
      <c r="T33" s="24"/>
      <c r="U33" s="26">
        <v>40</v>
      </c>
      <c r="V33" s="26">
        <v>6</v>
      </c>
      <c r="W33" s="19"/>
      <c r="X33" s="25" t="s">
        <v>401</v>
      </c>
      <c r="Y33" s="24" t="s">
        <v>392</v>
      </c>
      <c r="Z33" s="26">
        <v>20</v>
      </c>
      <c r="AA33" s="26">
        <v>2</v>
      </c>
      <c r="AB33" s="19"/>
    </row>
    <row r="34" spans="1:32" ht="16" thickBot="1" x14ac:dyDescent="0.25">
      <c r="A34" s="17" t="s">
        <v>501</v>
      </c>
      <c r="B34" s="18" t="s">
        <v>502</v>
      </c>
      <c r="C34" s="19"/>
      <c r="D34" s="25" t="s">
        <v>456</v>
      </c>
      <c r="E34" s="24" t="s">
        <v>457</v>
      </c>
      <c r="F34" s="26">
        <v>45</v>
      </c>
      <c r="G34" s="26">
        <v>7</v>
      </c>
      <c r="H34" s="19"/>
      <c r="I34" s="25" t="s">
        <v>417</v>
      </c>
      <c r="J34" s="24" t="s">
        <v>418</v>
      </c>
      <c r="K34" s="26">
        <v>45</v>
      </c>
      <c r="L34" s="26">
        <v>7</v>
      </c>
      <c r="M34" s="19"/>
      <c r="N34" s="25" t="s">
        <v>440</v>
      </c>
      <c r="O34" s="24"/>
      <c r="P34" s="26">
        <v>40</v>
      </c>
      <c r="Q34" s="26">
        <v>6</v>
      </c>
      <c r="R34" s="19"/>
      <c r="S34" s="25" t="s">
        <v>490</v>
      </c>
      <c r="T34" s="24"/>
      <c r="U34" s="26">
        <v>45</v>
      </c>
      <c r="V34" s="26">
        <v>7</v>
      </c>
      <c r="W34" s="19"/>
      <c r="X34" s="19"/>
      <c r="Y34" s="19"/>
      <c r="Z34" s="19"/>
      <c r="AA34" s="19"/>
      <c r="AB34" s="19"/>
    </row>
    <row r="35" spans="1:32" ht="16" thickBot="1" x14ac:dyDescent="0.25">
      <c r="A35" s="23">
        <v>-2</v>
      </c>
      <c r="B35" s="24" t="s">
        <v>503</v>
      </c>
      <c r="D35" s="25" t="s">
        <v>105</v>
      </c>
      <c r="E35" s="24" t="s">
        <v>458</v>
      </c>
      <c r="F35" s="26">
        <v>50</v>
      </c>
      <c r="G35" s="26">
        <v>8</v>
      </c>
      <c r="H35" s="19"/>
      <c r="I35" s="25" t="s">
        <v>419</v>
      </c>
      <c r="J35" s="24" t="s">
        <v>420</v>
      </c>
      <c r="K35" s="26">
        <v>50</v>
      </c>
      <c r="L35" s="26">
        <v>8</v>
      </c>
      <c r="M35" s="19"/>
      <c r="N35" s="25" t="s">
        <v>441</v>
      </c>
      <c r="O35" s="24"/>
      <c r="P35" s="26">
        <v>45</v>
      </c>
      <c r="Q35" s="26">
        <v>7</v>
      </c>
      <c r="R35" s="19"/>
      <c r="S35" s="25" t="s">
        <v>491</v>
      </c>
      <c r="T35" s="24"/>
      <c r="U35" s="26">
        <v>50</v>
      </c>
      <c r="V35" s="26">
        <v>8</v>
      </c>
      <c r="W35" s="19"/>
      <c r="X35" t="s">
        <v>317</v>
      </c>
      <c r="AB35" s="19"/>
    </row>
    <row r="36" spans="1:32" ht="16" thickBot="1" x14ac:dyDescent="0.25">
      <c r="A36" s="23">
        <v>-1</v>
      </c>
      <c r="B36" s="24" t="s">
        <v>504</v>
      </c>
      <c r="D36" s="25" t="s">
        <v>104</v>
      </c>
      <c r="E36" s="24" t="s">
        <v>459</v>
      </c>
      <c r="F36" s="26">
        <v>55</v>
      </c>
      <c r="G36" s="26">
        <v>9</v>
      </c>
      <c r="H36" s="19"/>
      <c r="I36" s="25" t="s">
        <v>421</v>
      </c>
      <c r="J36" s="24" t="s">
        <v>422</v>
      </c>
      <c r="K36" s="26">
        <v>55</v>
      </c>
      <c r="L36" s="26">
        <v>9</v>
      </c>
      <c r="M36" s="19"/>
      <c r="N36" s="25" t="s">
        <v>442</v>
      </c>
      <c r="O36" s="24"/>
      <c r="P36" s="26">
        <v>50</v>
      </c>
      <c r="Q36" s="26">
        <v>8</v>
      </c>
      <c r="R36" s="19"/>
      <c r="S36" s="25" t="s">
        <v>492</v>
      </c>
      <c r="T36" s="24"/>
      <c r="U36" s="26">
        <v>55</v>
      </c>
      <c r="V36" s="26">
        <v>9</v>
      </c>
      <c r="W36" s="19"/>
      <c r="X36" s="20" t="s">
        <v>289</v>
      </c>
      <c r="Y36" s="18" t="s">
        <v>344</v>
      </c>
      <c r="Z36" s="21" t="s">
        <v>97</v>
      </c>
      <c r="AA36" s="21" t="s">
        <v>388</v>
      </c>
      <c r="AB36" s="19"/>
    </row>
    <row r="37" spans="1:32" ht="16" thickBot="1" x14ac:dyDescent="0.25">
      <c r="A37" s="23">
        <v>0</v>
      </c>
      <c r="B37" s="24" t="s">
        <v>505</v>
      </c>
      <c r="D37" s="25" t="s">
        <v>460</v>
      </c>
      <c r="E37" s="24" t="s">
        <v>461</v>
      </c>
      <c r="F37" s="26">
        <v>60</v>
      </c>
      <c r="G37" s="26">
        <v>10</v>
      </c>
      <c r="H37" s="19"/>
      <c r="I37" s="25" t="s">
        <v>423</v>
      </c>
      <c r="J37" s="24" t="s">
        <v>424</v>
      </c>
      <c r="K37" s="26">
        <v>60</v>
      </c>
      <c r="L37" s="26">
        <v>10</v>
      </c>
      <c r="M37" s="19"/>
      <c r="N37" s="25" t="s">
        <v>443</v>
      </c>
      <c r="O37" s="24"/>
      <c r="P37" s="26">
        <v>55</v>
      </c>
      <c r="Q37" s="26">
        <v>9</v>
      </c>
      <c r="R37" s="19"/>
      <c r="S37" s="25" t="s">
        <v>493</v>
      </c>
      <c r="T37" s="24"/>
      <c r="U37" s="26">
        <v>60</v>
      </c>
      <c r="V37" s="26">
        <v>10</v>
      </c>
      <c r="W37" s="19"/>
      <c r="X37" s="25" t="s">
        <v>472</v>
      </c>
      <c r="Y37" s="24" t="s">
        <v>473</v>
      </c>
      <c r="Z37" s="26">
        <v>5</v>
      </c>
      <c r="AA37" s="26">
        <v>-1</v>
      </c>
      <c r="AB37" s="19"/>
    </row>
    <row r="38" spans="1:32" ht="16" thickBot="1" x14ac:dyDescent="0.25">
      <c r="A38" s="23">
        <v>1</v>
      </c>
      <c r="B38" s="24" t="s">
        <v>506</v>
      </c>
      <c r="D38" s="25" t="s">
        <v>462</v>
      </c>
      <c r="E38" s="24" t="s">
        <v>463</v>
      </c>
      <c r="F38" s="26">
        <v>65</v>
      </c>
      <c r="G38" s="26">
        <v>11</v>
      </c>
      <c r="H38" s="19"/>
      <c r="I38" s="25" t="s">
        <v>425</v>
      </c>
      <c r="J38" s="24" t="s">
        <v>378</v>
      </c>
      <c r="K38" s="26">
        <v>65</v>
      </c>
      <c r="L38" s="26">
        <v>11</v>
      </c>
      <c r="M38" s="19"/>
      <c r="N38" s="25" t="s">
        <v>444</v>
      </c>
      <c r="O38" s="24"/>
      <c r="P38" s="26">
        <v>60</v>
      </c>
      <c r="Q38" s="26">
        <v>10</v>
      </c>
      <c r="R38" s="19"/>
      <c r="S38" s="25" t="s">
        <v>494</v>
      </c>
      <c r="T38" s="24"/>
      <c r="U38" s="26">
        <v>65</v>
      </c>
      <c r="V38" s="26">
        <v>11</v>
      </c>
      <c r="W38" s="19"/>
      <c r="X38" s="25" t="s">
        <v>474</v>
      </c>
      <c r="Y38" s="24"/>
      <c r="Z38" s="26">
        <v>5</v>
      </c>
      <c r="AA38" s="26">
        <v>1</v>
      </c>
      <c r="AB38" s="19"/>
    </row>
    <row r="39" spans="1:32" ht="16" thickBot="1" x14ac:dyDescent="0.25">
      <c r="A39" s="23">
        <v>2</v>
      </c>
      <c r="B39" s="24" t="s">
        <v>507</v>
      </c>
      <c r="D39" s="25" t="s">
        <v>464</v>
      </c>
      <c r="E39" s="24" t="s">
        <v>465</v>
      </c>
      <c r="F39" s="26">
        <v>70</v>
      </c>
      <c r="G39" s="26">
        <v>12</v>
      </c>
      <c r="H39" s="19"/>
      <c r="I39" s="25" t="s">
        <v>426</v>
      </c>
      <c r="J39" s="24" t="s">
        <v>348</v>
      </c>
      <c r="K39" s="26">
        <v>70</v>
      </c>
      <c r="L39" s="26">
        <v>12</v>
      </c>
      <c r="M39" s="19"/>
      <c r="N39" s="25" t="s">
        <v>445</v>
      </c>
      <c r="O39" s="24"/>
      <c r="P39" s="26">
        <v>65</v>
      </c>
      <c r="Q39" s="26">
        <v>11</v>
      </c>
      <c r="R39" s="19"/>
      <c r="S39" s="25" t="s">
        <v>495</v>
      </c>
      <c r="T39" s="24"/>
      <c r="U39" s="26">
        <v>70</v>
      </c>
      <c r="V39" s="26">
        <v>12</v>
      </c>
      <c r="W39" s="19"/>
      <c r="X39" s="25" t="s">
        <v>475</v>
      </c>
      <c r="Y39" s="24" t="s">
        <v>476</v>
      </c>
      <c r="Z39" s="26">
        <v>36</v>
      </c>
      <c r="AA39" s="26">
        <v>4</v>
      </c>
      <c r="AB39" s="19"/>
    </row>
    <row r="40" spans="1:32" ht="16" thickBot="1" x14ac:dyDescent="0.25">
      <c r="A40" s="23">
        <v>3</v>
      </c>
      <c r="B40" s="24" t="s">
        <v>508</v>
      </c>
      <c r="D40" s="25" t="s">
        <v>466</v>
      </c>
      <c r="E40" s="24"/>
      <c r="F40" s="26">
        <v>75</v>
      </c>
      <c r="G40" s="26">
        <v>13</v>
      </c>
      <c r="H40" s="19"/>
      <c r="I40" s="25" t="s">
        <v>427</v>
      </c>
      <c r="J40" s="24" t="s">
        <v>428</v>
      </c>
      <c r="K40" s="26">
        <v>75</v>
      </c>
      <c r="L40" s="26">
        <v>13</v>
      </c>
      <c r="M40" s="19"/>
      <c r="N40" s="25" t="s">
        <v>446</v>
      </c>
      <c r="O40" s="24"/>
      <c r="P40" s="26">
        <v>70</v>
      </c>
      <c r="Q40" s="26">
        <v>12</v>
      </c>
      <c r="R40" s="19"/>
      <c r="S40" s="25" t="s">
        <v>496</v>
      </c>
      <c r="T40" s="24"/>
      <c r="U40" s="26">
        <v>75</v>
      </c>
      <c r="V40" s="26">
        <v>13</v>
      </c>
      <c r="W40" s="19"/>
      <c r="X40" s="27" t="s">
        <v>477</v>
      </c>
      <c r="Y40" s="28" t="s">
        <v>473</v>
      </c>
      <c r="Z40" s="29">
        <v>60</v>
      </c>
      <c r="AA40" s="29">
        <v>10</v>
      </c>
      <c r="AB40" s="19"/>
    </row>
    <row r="41" spans="1:32" ht="16" thickBot="1" x14ac:dyDescent="0.25">
      <c r="A41" s="23">
        <v>4</v>
      </c>
      <c r="B41" s="24" t="s">
        <v>509</v>
      </c>
      <c r="D41" s="25" t="s">
        <v>467</v>
      </c>
      <c r="E41" s="24"/>
      <c r="F41" s="26">
        <v>80</v>
      </c>
      <c r="G41" s="26">
        <v>14</v>
      </c>
      <c r="H41" s="19"/>
      <c r="I41" s="25" t="s">
        <v>429</v>
      </c>
      <c r="J41" s="24" t="s">
        <v>430</v>
      </c>
      <c r="K41" s="26">
        <v>80</v>
      </c>
      <c r="L41" s="26">
        <v>14</v>
      </c>
      <c r="M41" s="19"/>
      <c r="N41" s="25" t="s">
        <v>447</v>
      </c>
      <c r="O41" s="24"/>
      <c r="P41" s="26">
        <v>75</v>
      </c>
      <c r="Q41" s="26">
        <v>13</v>
      </c>
      <c r="R41" s="19"/>
      <c r="S41" s="25" t="s">
        <v>497</v>
      </c>
      <c r="T41" s="24"/>
      <c r="U41" s="26">
        <v>80</v>
      </c>
      <c r="V41" s="26">
        <v>14</v>
      </c>
      <c r="W41" s="19"/>
      <c r="X41" s="118" t="s">
        <v>478</v>
      </c>
      <c r="Y41" s="120" t="s">
        <v>479</v>
      </c>
      <c r="Z41" s="118">
        <v>10</v>
      </c>
      <c r="AA41" s="118">
        <v>0</v>
      </c>
      <c r="AB41" s="19"/>
    </row>
    <row r="42" spans="1:32" ht="16" thickBot="1" x14ac:dyDescent="0.25">
      <c r="A42" s="23">
        <v>5</v>
      </c>
      <c r="B42" s="24" t="s">
        <v>510</v>
      </c>
      <c r="D42" s="25" t="s">
        <v>468</v>
      </c>
      <c r="E42" s="24"/>
      <c r="F42" s="26">
        <v>85</v>
      </c>
      <c r="G42" s="26">
        <v>15</v>
      </c>
      <c r="H42" s="19"/>
      <c r="I42" s="25" t="s">
        <v>431</v>
      </c>
      <c r="J42" s="24" t="s">
        <v>432</v>
      </c>
      <c r="K42" s="26">
        <v>85</v>
      </c>
      <c r="L42" s="26">
        <v>15</v>
      </c>
      <c r="M42" s="19"/>
      <c r="N42" s="25" t="s">
        <v>448</v>
      </c>
      <c r="O42" s="24"/>
      <c r="P42" s="26">
        <v>80</v>
      </c>
      <c r="Q42" s="26">
        <v>14</v>
      </c>
      <c r="R42" s="19"/>
      <c r="S42" s="25" t="s">
        <v>498</v>
      </c>
      <c r="T42" s="24"/>
      <c r="U42" s="26">
        <v>85</v>
      </c>
      <c r="V42" s="26">
        <v>15</v>
      </c>
      <c r="W42" s="19"/>
      <c r="X42" s="119"/>
      <c r="Y42" s="121"/>
      <c r="Z42" s="119"/>
      <c r="AA42" s="119"/>
      <c r="AB42" s="19"/>
    </row>
    <row r="43" spans="1:32" ht="16" thickBot="1" x14ac:dyDescent="0.25">
      <c r="A43" s="23">
        <v>6</v>
      </c>
      <c r="B43" s="24" t="s">
        <v>511</v>
      </c>
      <c r="D43" s="25" t="s">
        <v>469</v>
      </c>
      <c r="E43" s="24"/>
      <c r="F43" s="26">
        <v>90</v>
      </c>
      <c r="G43" s="26">
        <v>16</v>
      </c>
      <c r="H43" s="19"/>
      <c r="I43" s="25" t="s">
        <v>433</v>
      </c>
      <c r="J43" s="24" t="s">
        <v>357</v>
      </c>
      <c r="K43" s="26">
        <v>90</v>
      </c>
      <c r="L43" s="26">
        <v>16</v>
      </c>
      <c r="M43" s="19"/>
      <c r="N43" s="25" t="s">
        <v>449</v>
      </c>
      <c r="O43" s="24"/>
      <c r="P43" s="26">
        <v>85</v>
      </c>
      <c r="Q43" s="26">
        <v>15</v>
      </c>
      <c r="R43" s="19"/>
      <c r="S43" s="25" t="s">
        <v>499</v>
      </c>
      <c r="T43" s="24"/>
      <c r="U43" s="26">
        <v>90</v>
      </c>
      <c r="V43" s="26">
        <v>16</v>
      </c>
      <c r="W43" s="19"/>
      <c r="X43" s="27" t="s">
        <v>480</v>
      </c>
      <c r="Y43" s="28" t="s">
        <v>390</v>
      </c>
      <c r="Z43" s="29">
        <v>15</v>
      </c>
      <c r="AA43" s="29">
        <v>1</v>
      </c>
      <c r="AB43" s="19"/>
    </row>
    <row r="44" spans="1:32" ht="16" thickBot="1" x14ac:dyDescent="0.25">
      <c r="A44" s="23">
        <v>7</v>
      </c>
      <c r="B44" s="24" t="s">
        <v>512</v>
      </c>
      <c r="D44" s="25" t="s">
        <v>470</v>
      </c>
      <c r="E44" s="24"/>
      <c r="F44" s="26">
        <v>95</v>
      </c>
      <c r="G44" s="26">
        <v>17</v>
      </c>
      <c r="H44" s="19"/>
      <c r="I44" s="19"/>
      <c r="J44" s="19"/>
      <c r="K44" s="19"/>
      <c r="L44" s="19"/>
      <c r="M44" s="19"/>
      <c r="N44" s="25" t="s">
        <v>450</v>
      </c>
      <c r="O44" s="24"/>
      <c r="P44" s="26">
        <v>90</v>
      </c>
      <c r="Q44" s="26">
        <v>16</v>
      </c>
      <c r="R44" s="19"/>
      <c r="W44" s="19"/>
      <c r="X44" s="27" t="s">
        <v>481</v>
      </c>
      <c r="Y44" s="28" t="s">
        <v>473</v>
      </c>
      <c r="Z44" s="29">
        <v>120</v>
      </c>
      <c r="AA44" s="29">
        <v>22</v>
      </c>
      <c r="AB44" s="19"/>
      <c r="AC44" s="19"/>
      <c r="AD44" s="19"/>
      <c r="AE44" s="19"/>
      <c r="AF44" s="19"/>
    </row>
    <row r="45" spans="1:32" ht="16" thickBot="1" x14ac:dyDescent="0.25">
      <c r="A45" s="23">
        <v>8</v>
      </c>
      <c r="B45" s="24" t="s">
        <v>513</v>
      </c>
      <c r="D45" s="25" t="s">
        <v>471</v>
      </c>
      <c r="E45" s="24"/>
      <c r="F45" s="26">
        <v>100</v>
      </c>
      <c r="G45" s="26">
        <v>18</v>
      </c>
      <c r="H45" s="19"/>
      <c r="I45" s="19" t="s">
        <v>660</v>
      </c>
      <c r="J45" s="19">
        <v>0</v>
      </c>
      <c r="K45" s="19">
        <v>0</v>
      </c>
      <c r="L45" s="19">
        <v>0</v>
      </c>
      <c r="M45" s="19"/>
      <c r="N45" s="19"/>
      <c r="O45" s="19"/>
      <c r="P45" s="19"/>
      <c r="Q45" s="19"/>
      <c r="R45" s="19"/>
      <c r="W45" s="19"/>
      <c r="X45" s="27" t="s">
        <v>482</v>
      </c>
      <c r="Y45" s="28" t="s">
        <v>473</v>
      </c>
      <c r="Z45" s="29">
        <v>150</v>
      </c>
      <c r="AA45" s="29">
        <v>28</v>
      </c>
      <c r="AB45" s="19"/>
      <c r="AC45" s="19"/>
      <c r="AD45" s="19"/>
      <c r="AE45" s="19"/>
      <c r="AF45" s="19"/>
    </row>
    <row r="46" spans="1:32" ht="16" thickBot="1" x14ac:dyDescent="0.25">
      <c r="A46" s="23">
        <v>9</v>
      </c>
      <c r="B46" s="24" t="s">
        <v>514</v>
      </c>
    </row>
    <row r="47" spans="1:32" ht="16" thickBot="1" x14ac:dyDescent="0.25">
      <c r="A47" s="23">
        <v>10</v>
      </c>
      <c r="B47" s="24" t="s">
        <v>515</v>
      </c>
    </row>
    <row r="50" spans="1:35" x14ac:dyDescent="0.2">
      <c r="A50" t="s">
        <v>500</v>
      </c>
    </row>
    <row r="51" spans="1:35" ht="16" thickBot="1" x14ac:dyDescent="0.25">
      <c r="A51" t="s">
        <v>666</v>
      </c>
      <c r="M51" t="s">
        <v>518</v>
      </c>
      <c r="Y51" t="s">
        <v>669</v>
      </c>
    </row>
    <row r="52" spans="1:35" ht="16" thickBot="1" x14ac:dyDescent="0.25">
      <c r="A52" s="20" t="s">
        <v>260</v>
      </c>
      <c r="B52" s="18" t="s">
        <v>344</v>
      </c>
      <c r="C52" s="21" t="s">
        <v>519</v>
      </c>
      <c r="D52" s="21" t="s">
        <v>520</v>
      </c>
      <c r="E52" s="18" t="s">
        <v>127</v>
      </c>
      <c r="F52" s="21" t="s">
        <v>91</v>
      </c>
      <c r="G52" s="18" t="s">
        <v>521</v>
      </c>
      <c r="H52" s="18" t="s">
        <v>522</v>
      </c>
      <c r="I52" s="21" t="s">
        <v>289</v>
      </c>
      <c r="J52" s="21" t="s">
        <v>347</v>
      </c>
      <c r="K52" s="18" t="s">
        <v>523</v>
      </c>
      <c r="M52" s="20" t="s">
        <v>260</v>
      </c>
      <c r="N52" s="18" t="s">
        <v>344</v>
      </c>
      <c r="O52" s="21" t="s">
        <v>519</v>
      </c>
      <c r="P52" s="21" t="s">
        <v>520</v>
      </c>
      <c r="Q52" s="18" t="s">
        <v>127</v>
      </c>
      <c r="R52" s="21" t="s">
        <v>91</v>
      </c>
      <c r="S52" s="18" t="s">
        <v>521</v>
      </c>
      <c r="T52" s="18" t="s">
        <v>522</v>
      </c>
      <c r="U52" s="21" t="s">
        <v>289</v>
      </c>
      <c r="V52" s="21" t="s">
        <v>347</v>
      </c>
      <c r="W52" s="18" t="s">
        <v>523</v>
      </c>
      <c r="Y52" s="20" t="s">
        <v>260</v>
      </c>
      <c r="Z52" s="18" t="s">
        <v>344</v>
      </c>
      <c r="AA52" s="21" t="s">
        <v>519</v>
      </c>
      <c r="AB52" s="21" t="s">
        <v>520</v>
      </c>
      <c r="AC52" s="18" t="s">
        <v>127</v>
      </c>
      <c r="AD52" s="21" t="s">
        <v>91</v>
      </c>
      <c r="AE52" s="18" t="s">
        <v>521</v>
      </c>
      <c r="AF52" s="18" t="s">
        <v>522</v>
      </c>
      <c r="AG52" s="21" t="s">
        <v>289</v>
      </c>
      <c r="AH52" s="21" t="s">
        <v>347</v>
      </c>
      <c r="AI52" s="18" t="s">
        <v>523</v>
      </c>
    </row>
    <row r="53" spans="1:35" ht="16" thickBot="1" x14ac:dyDescent="0.25">
      <c r="A53" s="25" t="s">
        <v>524</v>
      </c>
      <c r="B53" s="24" t="s">
        <v>378</v>
      </c>
      <c r="C53" s="26">
        <v>1</v>
      </c>
      <c r="D53" s="26">
        <v>1</v>
      </c>
      <c r="E53" s="24"/>
      <c r="F53" s="26">
        <v>3</v>
      </c>
      <c r="G53" s="24" t="s">
        <v>525</v>
      </c>
      <c r="H53" s="24">
        <v>3</v>
      </c>
      <c r="I53" s="26" t="s">
        <v>367</v>
      </c>
      <c r="J53" s="26">
        <v>1</v>
      </c>
      <c r="K53" s="24" t="s">
        <v>380</v>
      </c>
      <c r="L53" s="52" t="s">
        <v>380</v>
      </c>
      <c r="M53" s="25" t="s">
        <v>552</v>
      </c>
      <c r="N53" s="24" t="s">
        <v>416</v>
      </c>
      <c r="O53" s="26">
        <v>1</v>
      </c>
      <c r="P53" s="26">
        <v>1</v>
      </c>
      <c r="Q53" s="24" t="s">
        <v>473</v>
      </c>
      <c r="R53" s="26">
        <v>4</v>
      </c>
      <c r="S53" s="24" t="s">
        <v>525</v>
      </c>
      <c r="T53" s="24">
        <v>4</v>
      </c>
      <c r="U53" s="26" t="s">
        <v>387</v>
      </c>
      <c r="V53" s="26">
        <v>1</v>
      </c>
      <c r="W53" s="24" t="s">
        <v>527</v>
      </c>
      <c r="X53" s="52" t="s">
        <v>382</v>
      </c>
      <c r="Y53" s="25" t="s">
        <v>565</v>
      </c>
      <c r="Z53" s="24" t="s">
        <v>428</v>
      </c>
      <c r="AA53" s="26">
        <v>2</v>
      </c>
      <c r="AB53" s="26">
        <v>2</v>
      </c>
      <c r="AC53" s="24" t="s">
        <v>473</v>
      </c>
      <c r="AD53" s="26" t="s">
        <v>566</v>
      </c>
      <c r="AE53" s="24">
        <v>0</v>
      </c>
      <c r="AF53" s="24">
        <v>13</v>
      </c>
      <c r="AG53" s="26" t="s">
        <v>567</v>
      </c>
      <c r="AH53" s="26"/>
      <c r="AI53" s="24"/>
    </row>
    <row r="54" spans="1:35" ht="16" thickBot="1" x14ac:dyDescent="0.25">
      <c r="A54" s="25" t="s">
        <v>526</v>
      </c>
      <c r="B54" s="24" t="s">
        <v>354</v>
      </c>
      <c r="C54" s="26">
        <v>1</v>
      </c>
      <c r="D54" s="26">
        <v>1</v>
      </c>
      <c r="E54" s="24"/>
      <c r="F54" s="26">
        <v>6</v>
      </c>
      <c r="G54" s="24" t="s">
        <v>525</v>
      </c>
      <c r="H54" s="24">
        <v>5</v>
      </c>
      <c r="I54" s="26" t="s">
        <v>367</v>
      </c>
      <c r="J54" s="26">
        <v>2</v>
      </c>
      <c r="K54" s="24" t="s">
        <v>527</v>
      </c>
      <c r="L54" s="52" t="s">
        <v>380</v>
      </c>
      <c r="M54" s="25" t="s">
        <v>553</v>
      </c>
      <c r="N54" s="24" t="s">
        <v>378</v>
      </c>
      <c r="O54" s="26">
        <v>1</v>
      </c>
      <c r="P54" s="26">
        <v>1</v>
      </c>
      <c r="Q54" s="24" t="s">
        <v>473</v>
      </c>
      <c r="R54" s="26">
        <v>7</v>
      </c>
      <c r="S54" s="24" t="s">
        <v>525</v>
      </c>
      <c r="T54" s="24">
        <v>6</v>
      </c>
      <c r="U54" s="26" t="s">
        <v>367</v>
      </c>
      <c r="V54" s="26">
        <v>3</v>
      </c>
      <c r="W54" s="24" t="s">
        <v>527</v>
      </c>
      <c r="X54" s="52" t="s">
        <v>382</v>
      </c>
      <c r="Y54" s="25" t="s">
        <v>568</v>
      </c>
      <c r="Z54" s="24" t="s">
        <v>432</v>
      </c>
      <c r="AA54" s="26">
        <v>2</v>
      </c>
      <c r="AB54" s="26">
        <v>3</v>
      </c>
      <c r="AC54" s="24" t="s">
        <v>473</v>
      </c>
      <c r="AD54" s="26" t="s">
        <v>569</v>
      </c>
      <c r="AE54" s="24">
        <v>0</v>
      </c>
      <c r="AF54" s="24">
        <v>11</v>
      </c>
      <c r="AG54" s="26"/>
      <c r="AH54" s="26"/>
      <c r="AI54" s="24" t="s">
        <v>529</v>
      </c>
    </row>
    <row r="55" spans="1:35" ht="16" thickBot="1" x14ac:dyDescent="0.25">
      <c r="A55" s="25" t="s">
        <v>528</v>
      </c>
      <c r="B55" s="24" t="s">
        <v>357</v>
      </c>
      <c r="C55" s="26">
        <v>1</v>
      </c>
      <c r="D55" s="26">
        <v>1</v>
      </c>
      <c r="E55" s="24" t="s">
        <v>473</v>
      </c>
      <c r="F55" s="26">
        <v>9</v>
      </c>
      <c r="G55" s="24" t="s">
        <v>525</v>
      </c>
      <c r="H55" s="24">
        <v>7</v>
      </c>
      <c r="I55" s="26" t="s">
        <v>367</v>
      </c>
      <c r="J55" s="26">
        <v>4</v>
      </c>
      <c r="K55" s="24" t="s">
        <v>529</v>
      </c>
      <c r="L55" s="52" t="s">
        <v>380</v>
      </c>
      <c r="M55" s="25" t="s">
        <v>554</v>
      </c>
      <c r="N55" s="24" t="s">
        <v>357</v>
      </c>
      <c r="O55" s="26">
        <v>1</v>
      </c>
      <c r="P55" s="26">
        <v>2</v>
      </c>
      <c r="Q55" s="24" t="s">
        <v>473</v>
      </c>
      <c r="R55" s="26">
        <v>7</v>
      </c>
      <c r="S55" s="24" t="s">
        <v>525</v>
      </c>
      <c r="T55" s="24">
        <v>10</v>
      </c>
      <c r="U55" s="26" t="s">
        <v>367</v>
      </c>
      <c r="V55" s="26">
        <v>4</v>
      </c>
      <c r="W55" s="24" t="s">
        <v>527</v>
      </c>
      <c r="X55" s="52" t="s">
        <v>382</v>
      </c>
      <c r="Y55" s="25" t="s">
        <v>570</v>
      </c>
      <c r="Z55" s="24" t="s">
        <v>354</v>
      </c>
      <c r="AA55" s="26">
        <v>2</v>
      </c>
      <c r="AB55" s="26">
        <v>3</v>
      </c>
      <c r="AC55" s="24" t="s">
        <v>473</v>
      </c>
      <c r="AD55" s="26" t="s">
        <v>571</v>
      </c>
      <c r="AE55" s="24">
        <v>0</v>
      </c>
      <c r="AF55" s="24">
        <v>10</v>
      </c>
      <c r="AG55" s="26" t="s">
        <v>567</v>
      </c>
      <c r="AH55" s="26"/>
      <c r="AI55" s="24" t="s">
        <v>529</v>
      </c>
    </row>
    <row r="56" spans="1:35" ht="16" thickBot="1" x14ac:dyDescent="0.25">
      <c r="A56" s="33" t="s">
        <v>530</v>
      </c>
      <c r="B56" s="24" t="s">
        <v>506</v>
      </c>
      <c r="C56" s="26" t="s">
        <v>473</v>
      </c>
      <c r="D56" s="26" t="s">
        <v>473</v>
      </c>
      <c r="E56" s="24" t="s">
        <v>473</v>
      </c>
      <c r="F56" s="26" t="s">
        <v>531</v>
      </c>
      <c r="G56" s="24" t="s">
        <v>473</v>
      </c>
      <c r="H56" s="24">
        <v>-1</v>
      </c>
      <c r="I56" s="26" t="s">
        <v>473</v>
      </c>
      <c r="J56" s="26" t="s">
        <v>532</v>
      </c>
      <c r="K56" s="24" t="s">
        <v>473</v>
      </c>
      <c r="L56" s="50"/>
      <c r="M56" s="25" t="s">
        <v>157</v>
      </c>
      <c r="N56" s="24" t="s">
        <v>348</v>
      </c>
      <c r="O56" s="26">
        <v>1</v>
      </c>
      <c r="P56" s="26">
        <v>1</v>
      </c>
      <c r="Q56" s="24" t="s">
        <v>555</v>
      </c>
      <c r="R56" s="26">
        <v>10</v>
      </c>
      <c r="S56" s="24" t="s">
        <v>525</v>
      </c>
      <c r="T56" s="24">
        <v>8</v>
      </c>
      <c r="U56" s="26" t="s">
        <v>367</v>
      </c>
      <c r="V56" s="26">
        <v>5</v>
      </c>
      <c r="W56" s="24" t="s">
        <v>527</v>
      </c>
      <c r="X56" s="50" t="s">
        <v>382</v>
      </c>
      <c r="Y56" s="25" t="s">
        <v>572</v>
      </c>
      <c r="Z56" s="24"/>
      <c r="AA56" s="26">
        <v>2</v>
      </c>
      <c r="AB56" s="26">
        <v>2</v>
      </c>
      <c r="AC56" s="24" t="s">
        <v>473</v>
      </c>
      <c r="AD56" s="26"/>
      <c r="AE56" s="24">
        <v>0</v>
      </c>
      <c r="AF56" s="24"/>
      <c r="AG56" s="26" t="s">
        <v>567</v>
      </c>
      <c r="AH56" s="26"/>
      <c r="AI56" s="24" t="s">
        <v>529</v>
      </c>
    </row>
    <row r="57" spans="1:35" ht="16" thickBot="1" x14ac:dyDescent="0.25">
      <c r="A57" s="33" t="s">
        <v>533</v>
      </c>
      <c r="B57" s="24" t="s">
        <v>506</v>
      </c>
      <c r="C57" s="26" t="s">
        <v>473</v>
      </c>
      <c r="D57" s="26" t="s">
        <v>473</v>
      </c>
      <c r="E57" s="24" t="s">
        <v>473</v>
      </c>
      <c r="F57" s="26">
        <v>0</v>
      </c>
      <c r="G57" s="24" t="s">
        <v>473</v>
      </c>
      <c r="H57" s="24">
        <v>-2</v>
      </c>
      <c r="I57" s="26" t="s">
        <v>473</v>
      </c>
      <c r="J57" s="26" t="s">
        <v>506</v>
      </c>
      <c r="K57" s="24" t="s">
        <v>473</v>
      </c>
      <c r="M57" s="25" t="s">
        <v>556</v>
      </c>
      <c r="N57" s="24" t="s">
        <v>557</v>
      </c>
      <c r="O57" s="26">
        <v>2</v>
      </c>
      <c r="P57" s="26">
        <v>2</v>
      </c>
      <c r="Q57" s="24" t="s">
        <v>77</v>
      </c>
      <c r="R57" s="26">
        <v>6</v>
      </c>
      <c r="S57" s="24">
        <v>1</v>
      </c>
      <c r="T57" s="24">
        <v>3</v>
      </c>
      <c r="U57" s="26" t="s">
        <v>387</v>
      </c>
      <c r="V57" s="26">
        <v>1.5</v>
      </c>
      <c r="W57" s="24" t="s">
        <v>529</v>
      </c>
      <c r="X57" s="50" t="s">
        <v>382</v>
      </c>
      <c r="Y57" s="25" t="s">
        <v>573</v>
      </c>
      <c r="Z57" s="24"/>
      <c r="AA57" s="26">
        <v>2</v>
      </c>
      <c r="AB57" s="26">
        <v>2</v>
      </c>
      <c r="AC57" s="24" t="s">
        <v>473</v>
      </c>
      <c r="AD57" s="26"/>
      <c r="AE57" s="24">
        <v>0</v>
      </c>
      <c r="AF57" s="24"/>
      <c r="AG57" s="26" t="s">
        <v>567</v>
      </c>
      <c r="AH57" s="26"/>
      <c r="AI57" s="24" t="s">
        <v>529</v>
      </c>
    </row>
    <row r="58" spans="1:35" ht="16" thickBot="1" x14ac:dyDescent="0.25">
      <c r="A58" s="33" t="s">
        <v>156</v>
      </c>
      <c r="B58" s="24" t="s">
        <v>473</v>
      </c>
      <c r="C58" s="26" t="s">
        <v>473</v>
      </c>
      <c r="D58" s="26" t="s">
        <v>473</v>
      </c>
      <c r="E58" s="24" t="s">
        <v>473</v>
      </c>
      <c r="F58" s="26" t="s">
        <v>534</v>
      </c>
      <c r="G58" s="24" t="s">
        <v>473</v>
      </c>
      <c r="H58" s="24" t="s">
        <v>473</v>
      </c>
      <c r="I58" s="26" t="s">
        <v>473</v>
      </c>
      <c r="J58" s="26" t="s">
        <v>473</v>
      </c>
      <c r="K58" s="24" t="s">
        <v>473</v>
      </c>
      <c r="L58" s="50"/>
      <c r="M58" s="33" t="s">
        <v>558</v>
      </c>
      <c r="N58" s="24" t="s">
        <v>532</v>
      </c>
      <c r="O58" s="26" t="s">
        <v>473</v>
      </c>
      <c r="P58" s="26" t="s">
        <v>473</v>
      </c>
      <c r="Q58" s="24" t="s">
        <v>473</v>
      </c>
      <c r="R58" s="26" t="s">
        <v>559</v>
      </c>
      <c r="S58" s="24" t="s">
        <v>473</v>
      </c>
      <c r="T58" s="24" t="s">
        <v>473</v>
      </c>
      <c r="U58" s="26" t="s">
        <v>367</v>
      </c>
      <c r="V58" s="26" t="s">
        <v>473</v>
      </c>
      <c r="W58" s="24" t="s">
        <v>527</v>
      </c>
      <c r="X58" s="50" t="s">
        <v>381</v>
      </c>
      <c r="Y58" s="25" t="s">
        <v>574</v>
      </c>
      <c r="Z58" s="24" t="s">
        <v>348</v>
      </c>
      <c r="AA58" s="26">
        <v>2</v>
      </c>
      <c r="AB58" s="26">
        <v>2</v>
      </c>
      <c r="AC58" s="24" t="s">
        <v>473</v>
      </c>
      <c r="AD58" s="26" t="s">
        <v>575</v>
      </c>
      <c r="AE58" s="24">
        <v>0</v>
      </c>
      <c r="AF58" s="24">
        <v>11</v>
      </c>
      <c r="AG58" s="26" t="s">
        <v>567</v>
      </c>
      <c r="AH58" s="26"/>
      <c r="AI58" s="24" t="s">
        <v>529</v>
      </c>
    </row>
    <row r="59" spans="1:35" ht="16" thickBot="1" x14ac:dyDescent="0.25">
      <c r="A59" s="33" t="s">
        <v>535</v>
      </c>
      <c r="B59" s="24" t="s">
        <v>506</v>
      </c>
      <c r="C59" s="26" t="s">
        <v>473</v>
      </c>
      <c r="D59" s="26" t="s">
        <v>473</v>
      </c>
      <c r="E59" s="24" t="s">
        <v>77</v>
      </c>
      <c r="F59" s="26" t="s">
        <v>473</v>
      </c>
      <c r="G59" s="24" t="s">
        <v>473</v>
      </c>
      <c r="H59" s="24" t="s">
        <v>473</v>
      </c>
      <c r="I59" s="26" t="s">
        <v>473</v>
      </c>
      <c r="J59" s="26" t="s">
        <v>473</v>
      </c>
      <c r="K59" s="24" t="s">
        <v>473</v>
      </c>
      <c r="M59" s="33" t="s">
        <v>2</v>
      </c>
      <c r="N59" s="24" t="s">
        <v>504</v>
      </c>
      <c r="O59" s="26" t="s">
        <v>473</v>
      </c>
      <c r="P59" s="26" t="s">
        <v>473</v>
      </c>
      <c r="Q59" s="24" t="s">
        <v>473</v>
      </c>
      <c r="R59" s="26" t="s">
        <v>504</v>
      </c>
      <c r="S59" s="24" t="s">
        <v>473</v>
      </c>
      <c r="T59" s="24" t="s">
        <v>473</v>
      </c>
      <c r="U59" s="26" t="s">
        <v>367</v>
      </c>
      <c r="V59" s="26" t="s">
        <v>504</v>
      </c>
      <c r="W59" s="24" t="s">
        <v>527</v>
      </c>
      <c r="Y59" s="25" t="s">
        <v>576</v>
      </c>
      <c r="Z59" s="24"/>
      <c r="AA59" s="26">
        <v>2</v>
      </c>
      <c r="AB59" s="26">
        <v>2</v>
      </c>
      <c r="AC59" s="24" t="s">
        <v>473</v>
      </c>
      <c r="AD59" s="26"/>
      <c r="AE59" s="24">
        <v>0</v>
      </c>
      <c r="AF59" s="24"/>
      <c r="AG59" s="26" t="s">
        <v>567</v>
      </c>
      <c r="AH59" s="26"/>
      <c r="AI59" s="24" t="s">
        <v>529</v>
      </c>
    </row>
    <row r="60" spans="1:35" ht="16" thickBot="1" x14ac:dyDescent="0.25">
      <c r="M60" s="33" t="s">
        <v>4</v>
      </c>
      <c r="N60" s="24" t="s">
        <v>506</v>
      </c>
      <c r="O60" s="26" t="s">
        <v>473</v>
      </c>
      <c r="P60" s="26" t="s">
        <v>473</v>
      </c>
      <c r="Q60" s="24" t="s">
        <v>473</v>
      </c>
      <c r="R60" s="26">
        <v>2</v>
      </c>
      <c r="S60" s="24" t="s">
        <v>473</v>
      </c>
      <c r="T60" s="24" t="s">
        <v>473</v>
      </c>
      <c r="U60" s="26" t="s">
        <v>367</v>
      </c>
      <c r="V60" s="26" t="s">
        <v>506</v>
      </c>
      <c r="W60" s="24" t="s">
        <v>527</v>
      </c>
      <c r="Y60" s="25" t="s">
        <v>577</v>
      </c>
      <c r="Z60" s="24"/>
      <c r="AA60" s="26">
        <v>2</v>
      </c>
      <c r="AB60" s="26">
        <v>3</v>
      </c>
      <c r="AC60" s="24" t="s">
        <v>473</v>
      </c>
      <c r="AD60" s="26"/>
      <c r="AE60" s="24">
        <v>0</v>
      </c>
      <c r="AF60" s="24"/>
      <c r="AG60" s="26" t="s">
        <v>567</v>
      </c>
      <c r="AH60" s="26"/>
      <c r="AI60" s="24" t="s">
        <v>529</v>
      </c>
    </row>
    <row r="61" spans="1:35" ht="16" thickBot="1" x14ac:dyDescent="0.25">
      <c r="A61" t="s">
        <v>667</v>
      </c>
      <c r="M61" s="33" t="s">
        <v>560</v>
      </c>
      <c r="N61" s="24" t="s">
        <v>532</v>
      </c>
      <c r="O61" s="26" t="s">
        <v>473</v>
      </c>
      <c r="P61" s="26">
        <v>1</v>
      </c>
      <c r="Q61" s="24" t="s">
        <v>473</v>
      </c>
      <c r="R61" s="26">
        <v>1</v>
      </c>
      <c r="S61" s="24" t="s">
        <v>473</v>
      </c>
      <c r="T61" s="24">
        <v>4</v>
      </c>
      <c r="U61" s="26" t="s">
        <v>367</v>
      </c>
      <c r="V61" s="26" t="s">
        <v>506</v>
      </c>
      <c r="W61" s="24" t="s">
        <v>529</v>
      </c>
      <c r="Y61" s="25" t="s">
        <v>578</v>
      </c>
      <c r="Z61" s="24" t="s">
        <v>351</v>
      </c>
      <c r="AA61" s="26">
        <v>2</v>
      </c>
      <c r="AB61" s="26">
        <v>3</v>
      </c>
      <c r="AC61" s="24" t="s">
        <v>473</v>
      </c>
      <c r="AD61" s="26" t="s">
        <v>579</v>
      </c>
      <c r="AE61" s="24">
        <v>0</v>
      </c>
      <c r="AF61" s="24">
        <v>10</v>
      </c>
      <c r="AG61" s="26" t="s">
        <v>567</v>
      </c>
      <c r="AH61" s="26"/>
      <c r="AI61" s="24" t="s">
        <v>529</v>
      </c>
    </row>
    <row r="62" spans="1:35" ht="16" thickBot="1" x14ac:dyDescent="0.25">
      <c r="A62" s="20" t="s">
        <v>260</v>
      </c>
      <c r="B62" s="18" t="s">
        <v>344</v>
      </c>
      <c r="C62" s="21" t="s">
        <v>519</v>
      </c>
      <c r="D62" s="21" t="s">
        <v>520</v>
      </c>
      <c r="E62" s="18" t="s">
        <v>127</v>
      </c>
      <c r="F62" s="21" t="s">
        <v>91</v>
      </c>
      <c r="G62" s="18" t="s">
        <v>521</v>
      </c>
      <c r="H62" s="18" t="s">
        <v>522</v>
      </c>
      <c r="I62" s="21" t="s">
        <v>289</v>
      </c>
      <c r="J62" s="21" t="s">
        <v>347</v>
      </c>
      <c r="K62" s="18" t="s">
        <v>523</v>
      </c>
      <c r="M62" s="33" t="s">
        <v>561</v>
      </c>
      <c r="N62" s="24" t="s">
        <v>562</v>
      </c>
      <c r="O62" s="26" t="s">
        <v>473</v>
      </c>
      <c r="P62" s="26" t="s">
        <v>473</v>
      </c>
      <c r="Q62" s="24" t="s">
        <v>473</v>
      </c>
      <c r="R62" s="26">
        <v>6</v>
      </c>
      <c r="S62" s="24" t="s">
        <v>473</v>
      </c>
      <c r="T62" s="24">
        <v>2</v>
      </c>
      <c r="U62" s="26" t="s">
        <v>367</v>
      </c>
      <c r="V62" s="26">
        <v>4</v>
      </c>
      <c r="W62" s="24" t="s">
        <v>527</v>
      </c>
      <c r="Y62" s="25" t="s">
        <v>580</v>
      </c>
      <c r="Z62" s="24" t="s">
        <v>354</v>
      </c>
      <c r="AA62" s="26">
        <v>2</v>
      </c>
      <c r="AB62" s="26">
        <v>3</v>
      </c>
      <c r="AC62" s="24" t="s">
        <v>473</v>
      </c>
      <c r="AD62" s="26" t="s">
        <v>581</v>
      </c>
      <c r="AE62" s="24">
        <v>0</v>
      </c>
      <c r="AF62" s="24">
        <v>9</v>
      </c>
      <c r="AG62" s="26" t="s">
        <v>567</v>
      </c>
      <c r="AH62" s="26"/>
      <c r="AI62" s="24" t="s">
        <v>529</v>
      </c>
    </row>
    <row r="63" spans="1:35" ht="16" thickBot="1" x14ac:dyDescent="0.25">
      <c r="A63" s="25" t="s">
        <v>536</v>
      </c>
      <c r="B63" s="24" t="s">
        <v>416</v>
      </c>
      <c r="C63" s="26">
        <v>1</v>
      </c>
      <c r="D63" s="26">
        <v>0</v>
      </c>
      <c r="E63" s="24" t="s">
        <v>537</v>
      </c>
      <c r="F63" s="26">
        <v>2</v>
      </c>
      <c r="G63" s="24" t="s">
        <v>525</v>
      </c>
      <c r="H63" s="24">
        <v>0</v>
      </c>
      <c r="I63" s="26" t="s">
        <v>367</v>
      </c>
      <c r="J63" s="26">
        <v>0.5</v>
      </c>
      <c r="K63" s="24" t="s">
        <v>380</v>
      </c>
      <c r="L63" s="52" t="s">
        <v>381</v>
      </c>
      <c r="M63" s="33" t="s">
        <v>563</v>
      </c>
      <c r="N63" s="24" t="s">
        <v>473</v>
      </c>
      <c r="O63" s="26" t="s">
        <v>473</v>
      </c>
      <c r="P63" s="26" t="s">
        <v>473</v>
      </c>
      <c r="Q63" s="24" t="s">
        <v>473</v>
      </c>
      <c r="R63" s="26" t="s">
        <v>564</v>
      </c>
      <c r="S63" s="24" t="s">
        <v>473</v>
      </c>
      <c r="T63" s="24" t="s">
        <v>473</v>
      </c>
      <c r="U63" s="26" t="s">
        <v>367</v>
      </c>
      <c r="V63" s="26" t="s">
        <v>473</v>
      </c>
      <c r="W63" s="24" t="s">
        <v>527</v>
      </c>
    </row>
    <row r="64" spans="1:35" ht="16" thickBot="1" x14ac:dyDescent="0.25">
      <c r="A64" s="25" t="s">
        <v>539</v>
      </c>
      <c r="B64" s="24" t="s">
        <v>540</v>
      </c>
      <c r="C64" s="26">
        <v>1</v>
      </c>
      <c r="D64" s="26">
        <v>0</v>
      </c>
      <c r="E64" s="24"/>
      <c r="F64" s="26">
        <v>4</v>
      </c>
      <c r="G64" s="24" t="s">
        <v>541</v>
      </c>
      <c r="H64" s="24">
        <v>1</v>
      </c>
      <c r="I64" s="26" t="s">
        <v>367</v>
      </c>
      <c r="J64" s="26">
        <v>2</v>
      </c>
      <c r="K64" s="24" t="s">
        <v>380</v>
      </c>
      <c r="L64" s="52" t="s">
        <v>381</v>
      </c>
      <c r="Y64" t="s">
        <v>670</v>
      </c>
    </row>
    <row r="65" spans="1:35" ht="16" thickBot="1" x14ac:dyDescent="0.25">
      <c r="A65" s="25" t="s">
        <v>542</v>
      </c>
      <c r="B65" s="24" t="s">
        <v>543</v>
      </c>
      <c r="C65" s="26">
        <v>1</v>
      </c>
      <c r="D65" s="26">
        <v>0</v>
      </c>
      <c r="E65" s="24" t="s">
        <v>473</v>
      </c>
      <c r="F65" s="26">
        <v>3</v>
      </c>
      <c r="G65" s="24" t="s">
        <v>525</v>
      </c>
      <c r="H65" s="24">
        <v>2</v>
      </c>
      <c r="I65" s="26" t="s">
        <v>367</v>
      </c>
      <c r="J65" s="26">
        <v>1</v>
      </c>
      <c r="K65" s="24" t="s">
        <v>380</v>
      </c>
      <c r="L65" s="52" t="s">
        <v>380</v>
      </c>
      <c r="M65" t="s">
        <v>668</v>
      </c>
      <c r="Y65" s="20" t="s">
        <v>260</v>
      </c>
      <c r="Z65" s="18" t="s">
        <v>344</v>
      </c>
      <c r="AA65" s="21" t="s">
        <v>519</v>
      </c>
      <c r="AB65" s="21" t="s">
        <v>520</v>
      </c>
      <c r="AC65" s="18" t="s">
        <v>127</v>
      </c>
      <c r="AD65" s="21" t="s">
        <v>91</v>
      </c>
      <c r="AE65" s="18" t="s">
        <v>521</v>
      </c>
      <c r="AF65" s="18" t="s">
        <v>522</v>
      </c>
      <c r="AG65" s="21" t="s">
        <v>289</v>
      </c>
      <c r="AH65" s="21" t="s">
        <v>347</v>
      </c>
      <c r="AI65" s="18" t="s">
        <v>523</v>
      </c>
    </row>
    <row r="66" spans="1:35" ht="16" thickBot="1" x14ac:dyDescent="0.25">
      <c r="A66" s="25" t="s">
        <v>544</v>
      </c>
      <c r="B66" s="24" t="s">
        <v>416</v>
      </c>
      <c r="C66" s="26">
        <v>1</v>
      </c>
      <c r="D66" s="26">
        <v>0</v>
      </c>
      <c r="E66" s="24" t="s">
        <v>537</v>
      </c>
      <c r="F66" s="26">
        <v>3</v>
      </c>
      <c r="G66" s="24" t="s">
        <v>525</v>
      </c>
      <c r="H66" s="24">
        <v>0</v>
      </c>
      <c r="I66" s="26" t="s">
        <v>367</v>
      </c>
      <c r="J66" s="26">
        <v>0.5</v>
      </c>
      <c r="K66" s="24" t="s">
        <v>380</v>
      </c>
      <c r="L66" s="52" t="s">
        <v>380</v>
      </c>
      <c r="M66" s="20" t="s">
        <v>260</v>
      </c>
      <c r="N66" s="18" t="s">
        <v>344</v>
      </c>
      <c r="O66" s="21" t="s">
        <v>519</v>
      </c>
      <c r="P66" s="21" t="s">
        <v>520</v>
      </c>
      <c r="Q66" s="18" t="s">
        <v>127</v>
      </c>
      <c r="R66" s="21" t="s">
        <v>91</v>
      </c>
      <c r="S66" s="18" t="s">
        <v>521</v>
      </c>
      <c r="T66" s="18" t="s">
        <v>522</v>
      </c>
      <c r="U66" s="21" t="s">
        <v>289</v>
      </c>
      <c r="V66" s="21" t="s">
        <v>347</v>
      </c>
      <c r="W66" s="18" t="s">
        <v>523</v>
      </c>
      <c r="Y66" s="25" t="s">
        <v>582</v>
      </c>
      <c r="Z66" s="24"/>
      <c r="AA66" s="26">
        <v>1</v>
      </c>
      <c r="AB66" s="26" t="s">
        <v>473</v>
      </c>
      <c r="AC66" s="24">
        <v>15</v>
      </c>
      <c r="AD66" s="26" t="s">
        <v>583</v>
      </c>
      <c r="AE66" s="24">
        <v>0</v>
      </c>
      <c r="AF66" s="24"/>
      <c r="AG66" s="26" t="s">
        <v>567</v>
      </c>
      <c r="AH66" s="26"/>
      <c r="AI66" s="24" t="s">
        <v>527</v>
      </c>
    </row>
    <row r="67" spans="1:35" ht="16" thickBot="1" x14ac:dyDescent="0.25">
      <c r="A67" s="25" t="s">
        <v>545</v>
      </c>
      <c r="B67" s="24" t="s">
        <v>543</v>
      </c>
      <c r="C67" s="26">
        <v>1</v>
      </c>
      <c r="D67" s="26">
        <v>0</v>
      </c>
      <c r="E67" s="24" t="s">
        <v>473</v>
      </c>
      <c r="F67" s="26">
        <v>2</v>
      </c>
      <c r="G67" s="24" t="s">
        <v>546</v>
      </c>
      <c r="H67" s="24">
        <v>0</v>
      </c>
      <c r="I67" s="26" t="s">
        <v>367</v>
      </c>
      <c r="J67" s="26">
        <v>1</v>
      </c>
      <c r="K67" s="24" t="s">
        <v>380</v>
      </c>
      <c r="L67" s="52" t="s">
        <v>381</v>
      </c>
      <c r="M67" s="25" t="s">
        <v>595</v>
      </c>
      <c r="N67" s="24" t="s">
        <v>378</v>
      </c>
      <c r="O67" s="26">
        <v>1</v>
      </c>
      <c r="P67" s="26">
        <v>1</v>
      </c>
      <c r="Q67" s="24" t="s">
        <v>473</v>
      </c>
      <c r="R67" s="26">
        <v>6</v>
      </c>
      <c r="S67" s="24" t="s">
        <v>525</v>
      </c>
      <c r="T67" s="24">
        <v>3</v>
      </c>
      <c r="U67" s="26" t="s">
        <v>367</v>
      </c>
      <c r="V67" s="26">
        <v>1.5</v>
      </c>
      <c r="W67" s="24" t="s">
        <v>527</v>
      </c>
      <c r="X67" s="52" t="s">
        <v>380</v>
      </c>
      <c r="Y67" s="25" t="s">
        <v>584</v>
      </c>
      <c r="Z67" s="24"/>
      <c r="AA67" s="26">
        <v>1</v>
      </c>
      <c r="AB67" s="26">
        <v>2</v>
      </c>
      <c r="AC67" s="24">
        <v>5</v>
      </c>
      <c r="AD67" s="26"/>
      <c r="AE67" s="24">
        <v>0</v>
      </c>
      <c r="AF67" s="24"/>
      <c r="AG67" s="26" t="s">
        <v>567</v>
      </c>
      <c r="AH67" s="26"/>
      <c r="AI67" s="24" t="s">
        <v>527</v>
      </c>
    </row>
    <row r="68" spans="1:35" ht="16" thickBot="1" x14ac:dyDescent="0.25">
      <c r="A68" s="33" t="s">
        <v>547</v>
      </c>
      <c r="B68" s="24" t="s">
        <v>506</v>
      </c>
      <c r="C68" s="26" t="s">
        <v>473</v>
      </c>
      <c r="D68" s="26" t="s">
        <v>473</v>
      </c>
      <c r="E68" s="24" t="s">
        <v>473</v>
      </c>
      <c r="F68" s="26">
        <v>2</v>
      </c>
      <c r="G68" s="24" t="s">
        <v>473</v>
      </c>
      <c r="H68" s="24">
        <v>1</v>
      </c>
      <c r="I68" s="26" t="s">
        <v>473</v>
      </c>
      <c r="J68" s="26" t="s">
        <v>506</v>
      </c>
      <c r="K68" s="24" t="s">
        <v>527</v>
      </c>
      <c r="M68" s="25" t="s">
        <v>596</v>
      </c>
      <c r="N68" s="24" t="s">
        <v>378</v>
      </c>
      <c r="O68" s="26">
        <v>1</v>
      </c>
      <c r="P68" s="26">
        <v>1</v>
      </c>
      <c r="Q68" s="24" t="s">
        <v>473</v>
      </c>
      <c r="R68" s="26">
        <v>5</v>
      </c>
      <c r="S68" s="24" t="s">
        <v>525</v>
      </c>
      <c r="T68" s="24">
        <v>2</v>
      </c>
      <c r="U68" s="26" t="s">
        <v>367</v>
      </c>
      <c r="V68" s="26">
        <v>1.5</v>
      </c>
      <c r="W68" s="24" t="s">
        <v>527</v>
      </c>
      <c r="X68" s="52" t="s">
        <v>380</v>
      </c>
      <c r="Y68" s="25" t="s">
        <v>585</v>
      </c>
      <c r="Z68" s="24"/>
      <c r="AA68" s="26">
        <v>2</v>
      </c>
      <c r="AB68" s="26">
        <v>3</v>
      </c>
      <c r="AC68" s="24">
        <v>5</v>
      </c>
      <c r="AD68" s="26"/>
      <c r="AE68" s="24">
        <v>0</v>
      </c>
      <c r="AF68" s="24"/>
      <c r="AG68" s="26" t="s">
        <v>567</v>
      </c>
      <c r="AH68" s="26"/>
      <c r="AI68" s="24" t="s">
        <v>529</v>
      </c>
    </row>
    <row r="69" spans="1:35" ht="16" thickBot="1" x14ac:dyDescent="0.25">
      <c r="A69" s="33" t="s">
        <v>548</v>
      </c>
      <c r="B69" s="24" t="s">
        <v>549</v>
      </c>
      <c r="C69" s="26" t="s">
        <v>473</v>
      </c>
      <c r="D69" s="26" t="s">
        <v>473</v>
      </c>
      <c r="E69" s="24" t="s">
        <v>473</v>
      </c>
      <c r="F69" s="26">
        <v>2</v>
      </c>
      <c r="G69" s="24" t="s">
        <v>473</v>
      </c>
      <c r="H69" s="24" t="s">
        <v>473</v>
      </c>
      <c r="I69" s="26" t="s">
        <v>473</v>
      </c>
      <c r="J69" s="26">
        <v>0.5</v>
      </c>
      <c r="K69" s="24" t="s">
        <v>473</v>
      </c>
      <c r="M69" s="25" t="s">
        <v>597</v>
      </c>
      <c r="N69" s="24" t="s">
        <v>473</v>
      </c>
      <c r="O69" s="26" t="s">
        <v>473</v>
      </c>
      <c r="P69" s="26" t="s">
        <v>473</v>
      </c>
      <c r="Q69" s="24" t="s">
        <v>473</v>
      </c>
      <c r="R69" s="26" t="s">
        <v>564</v>
      </c>
      <c r="S69" s="24" t="s">
        <v>473</v>
      </c>
      <c r="T69" s="24">
        <v>-1</v>
      </c>
      <c r="U69" s="26" t="s">
        <v>473</v>
      </c>
      <c r="V69" s="26" t="s">
        <v>504</v>
      </c>
      <c r="W69" s="24" t="s">
        <v>527</v>
      </c>
      <c r="Y69" s="25" t="s">
        <v>586</v>
      </c>
      <c r="Z69" s="24"/>
      <c r="AA69" s="26">
        <v>1</v>
      </c>
      <c r="AB69" s="26"/>
      <c r="AC69" s="24"/>
      <c r="AD69" s="26"/>
      <c r="AE69" s="24">
        <v>0</v>
      </c>
      <c r="AF69" s="24"/>
      <c r="AG69" s="26" t="s">
        <v>567</v>
      </c>
      <c r="AH69" s="26"/>
      <c r="AI69" s="24" t="s">
        <v>529</v>
      </c>
    </row>
    <row r="70" spans="1:35" ht="16" thickBot="1" x14ac:dyDescent="0.25">
      <c r="A70" s="33" t="s">
        <v>535</v>
      </c>
      <c r="B70" s="24" t="s">
        <v>506</v>
      </c>
      <c r="C70" s="26" t="s">
        <v>473</v>
      </c>
      <c r="D70" s="26" t="s">
        <v>473</v>
      </c>
      <c r="E70" s="24" t="s">
        <v>550</v>
      </c>
      <c r="F70" s="26" t="s">
        <v>551</v>
      </c>
      <c r="G70" s="24" t="s">
        <v>473</v>
      </c>
      <c r="H70" s="24" t="s">
        <v>473</v>
      </c>
      <c r="I70" s="26" t="s">
        <v>473</v>
      </c>
      <c r="J70" s="26" t="s">
        <v>504</v>
      </c>
      <c r="K70" s="24" t="s">
        <v>473</v>
      </c>
      <c r="M70" s="25" t="s">
        <v>4</v>
      </c>
      <c r="N70" s="24" t="s">
        <v>506</v>
      </c>
      <c r="O70" s="26">
        <v>2</v>
      </c>
      <c r="P70" s="26" t="s">
        <v>473</v>
      </c>
      <c r="Q70" s="24" t="s">
        <v>473</v>
      </c>
      <c r="R70" s="26" t="s">
        <v>598</v>
      </c>
      <c r="S70" s="24" t="s">
        <v>473</v>
      </c>
      <c r="T70" s="24">
        <v>2</v>
      </c>
      <c r="U70" s="26" t="s">
        <v>473</v>
      </c>
      <c r="V70" s="26" t="s">
        <v>506</v>
      </c>
      <c r="W70" s="24" t="s">
        <v>527</v>
      </c>
      <c r="Y70" s="25" t="s">
        <v>587</v>
      </c>
      <c r="Z70" s="24"/>
      <c r="AA70" s="26">
        <v>2</v>
      </c>
      <c r="AB70" s="26"/>
      <c r="AC70" s="24"/>
      <c r="AD70" s="26"/>
      <c r="AE70" s="24">
        <v>1</v>
      </c>
      <c r="AF70" s="24"/>
      <c r="AG70" s="26" t="s">
        <v>567</v>
      </c>
      <c r="AH70" s="26"/>
      <c r="AI70" s="24" t="s">
        <v>529</v>
      </c>
    </row>
    <row r="71" spans="1:35" ht="16" thickBot="1" x14ac:dyDescent="0.25">
      <c r="M71" s="25" t="s">
        <v>2</v>
      </c>
      <c r="N71" s="24" t="s">
        <v>506</v>
      </c>
      <c r="O71" s="26" t="s">
        <v>473</v>
      </c>
      <c r="P71" s="26" t="s">
        <v>473</v>
      </c>
      <c r="Q71" s="24" t="s">
        <v>473</v>
      </c>
      <c r="R71" s="26" t="s">
        <v>473</v>
      </c>
      <c r="S71" s="24" t="s">
        <v>473</v>
      </c>
      <c r="T71" s="24">
        <v>-1</v>
      </c>
      <c r="U71" s="26" t="s">
        <v>473</v>
      </c>
      <c r="V71" s="26" t="s">
        <v>504</v>
      </c>
      <c r="W71" s="24" t="s">
        <v>527</v>
      </c>
      <c r="Y71" s="25" t="s">
        <v>588</v>
      </c>
      <c r="Z71" s="24"/>
      <c r="AA71" s="26">
        <v>2</v>
      </c>
      <c r="AB71" s="26"/>
      <c r="AC71" s="24"/>
      <c r="AD71" s="26"/>
      <c r="AE71" s="24">
        <v>0</v>
      </c>
      <c r="AF71" s="24"/>
      <c r="AG71" s="26" t="s">
        <v>567</v>
      </c>
      <c r="AH71" s="26"/>
      <c r="AI71" s="24" t="s">
        <v>529</v>
      </c>
    </row>
    <row r="72" spans="1:35" ht="16" thickBot="1" x14ac:dyDescent="0.25">
      <c r="A72" t="s">
        <v>159</v>
      </c>
      <c r="M72" s="25" t="s">
        <v>547</v>
      </c>
      <c r="N72" s="24" t="s">
        <v>506</v>
      </c>
      <c r="O72" s="26">
        <v>2</v>
      </c>
      <c r="P72" s="26">
        <v>2</v>
      </c>
      <c r="Q72" s="24" t="s">
        <v>473</v>
      </c>
      <c r="R72" s="26">
        <v>1</v>
      </c>
      <c r="S72" s="24" t="s">
        <v>473</v>
      </c>
      <c r="T72" s="24">
        <v>2</v>
      </c>
      <c r="U72" s="26" t="s">
        <v>473</v>
      </c>
      <c r="V72" s="26" t="s">
        <v>506</v>
      </c>
      <c r="W72" s="24" t="s">
        <v>529</v>
      </c>
      <c r="Y72" s="25" t="s">
        <v>589</v>
      </c>
      <c r="Z72" s="24"/>
      <c r="AA72" s="26">
        <v>1</v>
      </c>
      <c r="AB72" s="26" t="s">
        <v>473</v>
      </c>
      <c r="AC72" s="24">
        <v>15</v>
      </c>
      <c r="AD72" s="26" t="s">
        <v>590</v>
      </c>
      <c r="AE72" s="24">
        <v>0</v>
      </c>
      <c r="AF72" s="24"/>
      <c r="AG72" s="26" t="s">
        <v>567</v>
      </c>
      <c r="AH72" s="26"/>
      <c r="AI72" s="24" t="s">
        <v>529</v>
      </c>
    </row>
    <row r="73" spans="1:35" ht="16" thickBot="1" x14ac:dyDescent="0.25">
      <c r="A73" s="20" t="s">
        <v>260</v>
      </c>
      <c r="B73" s="18" t="s">
        <v>344</v>
      </c>
      <c r="C73" s="21" t="s">
        <v>519</v>
      </c>
      <c r="D73" s="21" t="s">
        <v>520</v>
      </c>
      <c r="E73" s="18" t="s">
        <v>127</v>
      </c>
      <c r="F73" s="21" t="s">
        <v>91</v>
      </c>
      <c r="G73" s="18" t="s">
        <v>521</v>
      </c>
      <c r="H73" s="18" t="s">
        <v>522</v>
      </c>
      <c r="I73" s="21" t="s">
        <v>289</v>
      </c>
      <c r="J73" s="21" t="s">
        <v>347</v>
      </c>
      <c r="K73" s="18" t="s">
        <v>523</v>
      </c>
      <c r="M73" s="25" t="s">
        <v>530</v>
      </c>
      <c r="N73" s="25" t="s">
        <v>532</v>
      </c>
      <c r="O73" s="25" t="s">
        <v>473</v>
      </c>
      <c r="P73" s="25" t="s">
        <v>473</v>
      </c>
      <c r="Q73" s="25" t="s">
        <v>473</v>
      </c>
      <c r="R73" s="25">
        <v>1</v>
      </c>
      <c r="S73" s="25" t="s">
        <v>473</v>
      </c>
      <c r="T73" s="25" t="s">
        <v>473</v>
      </c>
      <c r="U73" s="25" t="s">
        <v>473</v>
      </c>
      <c r="V73" s="25" t="s">
        <v>532</v>
      </c>
      <c r="W73" s="25" t="s">
        <v>527</v>
      </c>
      <c r="Y73" s="25" t="s">
        <v>591</v>
      </c>
      <c r="Z73" s="24"/>
      <c r="AA73" s="26">
        <v>2</v>
      </c>
      <c r="AB73" s="26">
        <v>2</v>
      </c>
      <c r="AC73" s="24" t="s">
        <v>473</v>
      </c>
      <c r="AD73" s="26" t="s">
        <v>592</v>
      </c>
      <c r="AE73" s="24">
        <v>0</v>
      </c>
      <c r="AF73" s="24"/>
      <c r="AG73" s="26" t="s">
        <v>567</v>
      </c>
      <c r="AH73" s="26"/>
      <c r="AI73" s="24" t="s">
        <v>529</v>
      </c>
    </row>
    <row r="74" spans="1:35" ht="16" thickBot="1" x14ac:dyDescent="0.25">
      <c r="A74" s="25" t="s">
        <v>599</v>
      </c>
      <c r="B74" s="24">
        <v>20</v>
      </c>
      <c r="C74" s="26">
        <v>2</v>
      </c>
      <c r="D74" s="26" t="s">
        <v>473</v>
      </c>
      <c r="E74" s="24">
        <v>10</v>
      </c>
      <c r="F74" s="26">
        <v>2</v>
      </c>
      <c r="G74" s="24">
        <v>0</v>
      </c>
      <c r="H74" s="24">
        <v>4</v>
      </c>
      <c r="I74" s="26" t="s">
        <v>387</v>
      </c>
      <c r="J74" s="26">
        <v>1</v>
      </c>
      <c r="K74" s="24" t="s">
        <v>380</v>
      </c>
      <c r="Y74" s="25" t="s">
        <v>593</v>
      </c>
      <c r="Z74" s="24"/>
      <c r="AA74" s="26">
        <v>2</v>
      </c>
      <c r="AB74" s="26"/>
      <c r="AC74" s="24"/>
      <c r="AD74" s="26"/>
      <c r="AE74" s="24">
        <v>0</v>
      </c>
      <c r="AF74" s="24"/>
      <c r="AG74" s="26" t="s">
        <v>567</v>
      </c>
      <c r="AH74" s="26"/>
      <c r="AI74" s="24" t="s">
        <v>529</v>
      </c>
    </row>
    <row r="75" spans="1:35" ht="16" thickBot="1" x14ac:dyDescent="0.25">
      <c r="A75" s="25" t="s">
        <v>600</v>
      </c>
      <c r="B75" s="24">
        <v>30</v>
      </c>
      <c r="C75" s="26">
        <v>2</v>
      </c>
      <c r="D75" s="26" t="s">
        <v>473</v>
      </c>
      <c r="E75" s="24">
        <v>30</v>
      </c>
      <c r="F75" s="26">
        <v>4</v>
      </c>
      <c r="G75" s="24">
        <v>0</v>
      </c>
      <c r="H75" s="24">
        <v>4</v>
      </c>
      <c r="I75" s="26" t="s">
        <v>387</v>
      </c>
      <c r="J75" s="26">
        <v>2</v>
      </c>
      <c r="K75" s="24" t="s">
        <v>527</v>
      </c>
      <c r="M75" t="s">
        <v>201</v>
      </c>
      <c r="Y75" s="25" t="s">
        <v>594</v>
      </c>
      <c r="Z75" s="24"/>
      <c r="AA75" s="26">
        <v>2</v>
      </c>
      <c r="AB75" s="34">
        <v>41001</v>
      </c>
      <c r="AC75" s="24"/>
      <c r="AD75" s="26"/>
      <c r="AE75" s="24"/>
      <c r="AF75" s="24"/>
      <c r="AG75" s="26"/>
      <c r="AH75" s="26"/>
      <c r="AI75" s="24" t="s">
        <v>529</v>
      </c>
    </row>
    <row r="76" spans="1:35" ht="16" thickBot="1" x14ac:dyDescent="0.25">
      <c r="A76" s="25" t="s">
        <v>601</v>
      </c>
      <c r="B76" s="24">
        <v>40</v>
      </c>
      <c r="C76" s="26">
        <v>2</v>
      </c>
      <c r="D76" s="26" t="s">
        <v>473</v>
      </c>
      <c r="E76" s="24">
        <v>50</v>
      </c>
      <c r="F76" s="26">
        <v>6</v>
      </c>
      <c r="G76" s="24">
        <v>0</v>
      </c>
      <c r="H76" s="24">
        <v>4</v>
      </c>
      <c r="I76" s="26" t="s">
        <v>387</v>
      </c>
      <c r="J76" s="26">
        <v>3</v>
      </c>
      <c r="K76" s="24" t="s">
        <v>529</v>
      </c>
      <c r="M76" s="25" t="s">
        <v>260</v>
      </c>
      <c r="N76" s="25" t="s">
        <v>344</v>
      </c>
      <c r="O76" s="25" t="s">
        <v>519</v>
      </c>
      <c r="P76" s="25" t="s">
        <v>520</v>
      </c>
      <c r="Q76" s="25" t="s">
        <v>127</v>
      </c>
      <c r="R76" s="25" t="s">
        <v>91</v>
      </c>
      <c r="S76" s="25" t="s">
        <v>521</v>
      </c>
      <c r="T76" s="25" t="s">
        <v>522</v>
      </c>
      <c r="U76" s="25" t="s">
        <v>289</v>
      </c>
      <c r="V76" s="25" t="s">
        <v>347</v>
      </c>
      <c r="W76" s="25" t="s">
        <v>523</v>
      </c>
      <c r="Y76" s="36"/>
      <c r="Z76" s="37"/>
      <c r="AA76" s="36"/>
      <c r="AB76" s="40"/>
      <c r="AC76" s="37"/>
      <c r="AD76" s="36"/>
      <c r="AE76" s="37"/>
      <c r="AF76" s="37"/>
      <c r="AG76" s="36"/>
      <c r="AH76" s="36"/>
      <c r="AI76" s="37"/>
    </row>
    <row r="77" spans="1:35" ht="16" thickBot="1" x14ac:dyDescent="0.25">
      <c r="A77" s="33" t="s">
        <v>602</v>
      </c>
      <c r="B77" s="24" t="s">
        <v>532</v>
      </c>
      <c r="C77" s="26">
        <v>2</v>
      </c>
      <c r="D77" s="26" t="s">
        <v>473</v>
      </c>
      <c r="E77" s="24" t="s">
        <v>532</v>
      </c>
      <c r="F77" s="26">
        <v>1</v>
      </c>
      <c r="G77" s="24">
        <v>0</v>
      </c>
      <c r="H77" s="24"/>
      <c r="I77" s="26" t="s">
        <v>473</v>
      </c>
      <c r="J77" s="26" t="s">
        <v>473</v>
      </c>
      <c r="K77" s="24"/>
      <c r="M77" s="25" t="s">
        <v>641</v>
      </c>
      <c r="N77" s="25" t="s">
        <v>642</v>
      </c>
      <c r="O77" s="25">
        <v>1</v>
      </c>
      <c r="P77" s="25">
        <v>0</v>
      </c>
      <c r="Q77" s="25">
        <v>0</v>
      </c>
      <c r="R77" s="25">
        <v>2</v>
      </c>
      <c r="S77" s="25">
        <v>2</v>
      </c>
      <c r="T77" s="25" t="s">
        <v>643</v>
      </c>
      <c r="U77" s="25" t="s">
        <v>387</v>
      </c>
      <c r="V77" s="25" t="s">
        <v>644</v>
      </c>
      <c r="W77" s="25" t="s">
        <v>527</v>
      </c>
      <c r="X77" s="51" t="s">
        <v>382</v>
      </c>
      <c r="Y77" t="s">
        <v>160</v>
      </c>
    </row>
    <row r="78" spans="1:35" ht="16" thickBot="1" x14ac:dyDescent="0.25">
      <c r="A78" s="33" t="s">
        <v>603</v>
      </c>
      <c r="B78" s="24" t="s">
        <v>532</v>
      </c>
      <c r="C78" s="26">
        <v>2</v>
      </c>
      <c r="D78" s="26" t="s">
        <v>473</v>
      </c>
      <c r="E78" s="24" t="s">
        <v>506</v>
      </c>
      <c r="F78" s="26">
        <v>2</v>
      </c>
      <c r="G78" s="24">
        <v>0</v>
      </c>
      <c r="H78" s="24"/>
      <c r="I78" s="26" t="s">
        <v>473</v>
      </c>
      <c r="J78" s="26" t="s">
        <v>473</v>
      </c>
      <c r="K78" s="24"/>
      <c r="M78" s="25" t="s">
        <v>645</v>
      </c>
      <c r="N78" s="25" t="s">
        <v>453</v>
      </c>
      <c r="O78" s="25">
        <v>1</v>
      </c>
      <c r="P78" s="25">
        <v>0</v>
      </c>
      <c r="Q78" s="25">
        <v>0</v>
      </c>
      <c r="R78" s="25">
        <v>1</v>
      </c>
      <c r="S78" s="25" t="s">
        <v>646</v>
      </c>
      <c r="T78" s="25">
        <v>1</v>
      </c>
      <c r="U78" s="25" t="s">
        <v>387</v>
      </c>
      <c r="V78" s="25" t="s">
        <v>379</v>
      </c>
      <c r="W78" s="25" t="s">
        <v>527</v>
      </c>
      <c r="X78" s="51" t="s">
        <v>382</v>
      </c>
      <c r="Y78" s="20" t="s">
        <v>260</v>
      </c>
      <c r="Z78" s="18" t="s">
        <v>344</v>
      </c>
      <c r="AA78" s="21" t="s">
        <v>519</v>
      </c>
      <c r="AB78" s="21" t="s">
        <v>520</v>
      </c>
      <c r="AC78" s="18" t="s">
        <v>127</v>
      </c>
      <c r="AD78" s="21" t="s">
        <v>91</v>
      </c>
      <c r="AE78" s="18" t="s">
        <v>521</v>
      </c>
      <c r="AF78" s="18" t="s">
        <v>522</v>
      </c>
      <c r="AG78" s="21" t="s">
        <v>289</v>
      </c>
      <c r="AH78" s="21" t="s">
        <v>347</v>
      </c>
      <c r="AI78" s="18" t="s">
        <v>523</v>
      </c>
    </row>
    <row r="79" spans="1:35" ht="16" thickBot="1" x14ac:dyDescent="0.25">
      <c r="A79" s="25" t="s">
        <v>604</v>
      </c>
      <c r="B79" s="24" t="s">
        <v>416</v>
      </c>
      <c r="C79" s="26" t="s">
        <v>473</v>
      </c>
      <c r="D79" s="26" t="s">
        <v>473</v>
      </c>
      <c r="E79" s="24" t="s">
        <v>473</v>
      </c>
      <c r="F79" s="26" t="s">
        <v>534</v>
      </c>
      <c r="G79" s="24" t="s">
        <v>525</v>
      </c>
      <c r="H79" s="24"/>
      <c r="I79" s="26" t="s">
        <v>387</v>
      </c>
      <c r="J79" s="26"/>
      <c r="K79" s="24"/>
      <c r="M79" s="25" t="s">
        <v>647</v>
      </c>
      <c r="N79" s="25" t="s">
        <v>648</v>
      </c>
      <c r="O79" s="25">
        <v>1</v>
      </c>
      <c r="P79" s="25">
        <v>0</v>
      </c>
      <c r="Q79" s="25">
        <v>0</v>
      </c>
      <c r="R79" s="25">
        <v>0</v>
      </c>
      <c r="S79" s="25">
        <v>6</v>
      </c>
      <c r="T79" s="25">
        <v>3</v>
      </c>
      <c r="U79" s="25" t="s">
        <v>387</v>
      </c>
      <c r="V79" s="25" t="s">
        <v>355</v>
      </c>
      <c r="W79" s="25" t="s">
        <v>529</v>
      </c>
      <c r="Y79" s="25" t="s">
        <v>612</v>
      </c>
      <c r="Z79" s="24">
        <v>100</v>
      </c>
      <c r="AA79" s="26">
        <v>1</v>
      </c>
      <c r="AB79" s="26" t="s">
        <v>473</v>
      </c>
      <c r="AC79" s="24">
        <v>20</v>
      </c>
      <c r="AD79" s="26">
        <v>5</v>
      </c>
      <c r="AE79" s="24">
        <v>0</v>
      </c>
      <c r="AF79" s="24">
        <v>10</v>
      </c>
      <c r="AG79" s="26" t="s">
        <v>367</v>
      </c>
      <c r="AH79" s="26">
        <v>1</v>
      </c>
      <c r="AI79" s="24" t="s">
        <v>380</v>
      </c>
    </row>
    <row r="80" spans="1:35" ht="16" thickBot="1" x14ac:dyDescent="0.25">
      <c r="A80" s="33" t="s">
        <v>605</v>
      </c>
      <c r="B80" s="24" t="s">
        <v>606</v>
      </c>
      <c r="C80" s="26">
        <v>1</v>
      </c>
      <c r="D80" s="26" t="s">
        <v>473</v>
      </c>
      <c r="E80" s="24" t="s">
        <v>473</v>
      </c>
      <c r="F80" s="26" t="s">
        <v>607</v>
      </c>
      <c r="G80" s="24" t="s">
        <v>525</v>
      </c>
      <c r="H80" s="24"/>
      <c r="I80" s="26" t="s">
        <v>387</v>
      </c>
      <c r="J80" s="26" t="s">
        <v>473</v>
      </c>
      <c r="K80" s="24"/>
      <c r="M80" s="25" t="s">
        <v>649</v>
      </c>
      <c r="N80" s="25" t="s">
        <v>428</v>
      </c>
      <c r="O80" s="25">
        <v>1</v>
      </c>
      <c r="P80" s="25">
        <v>0</v>
      </c>
      <c r="Q80" s="25">
        <v>0</v>
      </c>
      <c r="R80" s="25">
        <v>0</v>
      </c>
      <c r="S80" s="25">
        <v>10</v>
      </c>
      <c r="T80" s="25">
        <v>6</v>
      </c>
      <c r="U80" s="25" t="s">
        <v>387</v>
      </c>
      <c r="V80" s="25" t="s">
        <v>364</v>
      </c>
      <c r="W80" s="25" t="s">
        <v>529</v>
      </c>
      <c r="Y80" s="25" t="s">
        <v>613</v>
      </c>
      <c r="Z80" s="24">
        <v>20</v>
      </c>
      <c r="AA80" s="26">
        <v>2</v>
      </c>
      <c r="AB80" s="26" t="s">
        <v>473</v>
      </c>
      <c r="AC80" s="24">
        <v>60</v>
      </c>
      <c r="AD80" s="26">
        <v>10</v>
      </c>
      <c r="AE80" s="24">
        <v>0</v>
      </c>
      <c r="AF80" s="24">
        <v>20</v>
      </c>
      <c r="AG80" s="26" t="s">
        <v>387</v>
      </c>
      <c r="AH80" s="26">
        <v>2</v>
      </c>
      <c r="AI80" s="24" t="s">
        <v>527</v>
      </c>
    </row>
    <row r="81" spans="1:35" ht="16" thickBot="1" x14ac:dyDescent="0.25">
      <c r="A81" s="33" t="s">
        <v>608</v>
      </c>
      <c r="B81" s="24" t="s">
        <v>606</v>
      </c>
      <c r="C81" s="26">
        <v>1</v>
      </c>
      <c r="D81" s="26" t="s">
        <v>473</v>
      </c>
      <c r="E81" s="24" t="s">
        <v>473</v>
      </c>
      <c r="F81" s="26" t="s">
        <v>609</v>
      </c>
      <c r="G81" s="24" t="s">
        <v>525</v>
      </c>
      <c r="H81" s="24"/>
      <c r="I81" s="26" t="s">
        <v>387</v>
      </c>
      <c r="J81" s="26" t="s">
        <v>473</v>
      </c>
      <c r="K81" s="24"/>
      <c r="M81" s="25" t="s">
        <v>650</v>
      </c>
      <c r="N81" s="25" t="s">
        <v>508</v>
      </c>
      <c r="O81" s="25" t="s">
        <v>473</v>
      </c>
      <c r="P81" s="25" t="s">
        <v>473</v>
      </c>
      <c r="Q81" s="25" t="s">
        <v>473</v>
      </c>
      <c r="R81" s="25" t="s">
        <v>473</v>
      </c>
      <c r="S81" s="25">
        <v>2</v>
      </c>
      <c r="T81" s="25" t="s">
        <v>473</v>
      </c>
      <c r="U81" s="25" t="s">
        <v>367</v>
      </c>
      <c r="V81" s="25" t="s">
        <v>506</v>
      </c>
      <c r="W81" s="25" t="s">
        <v>473</v>
      </c>
      <c r="Y81" s="25" t="s">
        <v>614</v>
      </c>
      <c r="Z81" s="24">
        <v>40</v>
      </c>
      <c r="AA81" s="26">
        <v>2</v>
      </c>
      <c r="AB81" s="26" t="s">
        <v>473</v>
      </c>
      <c r="AC81" s="24">
        <v>180</v>
      </c>
      <c r="AD81" s="26">
        <v>20</v>
      </c>
      <c r="AE81" s="24">
        <v>0</v>
      </c>
      <c r="AF81" s="24">
        <v>40</v>
      </c>
      <c r="AG81" s="26" t="s">
        <v>387</v>
      </c>
      <c r="AH81" s="26">
        <v>8</v>
      </c>
      <c r="AI81" s="24" t="s">
        <v>529</v>
      </c>
    </row>
    <row r="82" spans="1:35" ht="16" thickBot="1" x14ac:dyDescent="0.25">
      <c r="A82" s="33" t="s">
        <v>610</v>
      </c>
      <c r="B82" s="24" t="s">
        <v>606</v>
      </c>
      <c r="C82" s="26">
        <v>1</v>
      </c>
      <c r="D82" s="26" t="s">
        <v>473</v>
      </c>
      <c r="E82" s="24" t="s">
        <v>473</v>
      </c>
      <c r="F82" s="26" t="s">
        <v>611</v>
      </c>
      <c r="G82" s="24" t="s">
        <v>525</v>
      </c>
      <c r="H82" s="24"/>
      <c r="I82" s="26" t="s">
        <v>387</v>
      </c>
      <c r="J82" s="26" t="s">
        <v>473</v>
      </c>
      <c r="K82" s="24"/>
      <c r="M82" s="25" t="s">
        <v>651</v>
      </c>
      <c r="N82" s="25" t="s">
        <v>506</v>
      </c>
      <c r="O82" s="25" t="s">
        <v>473</v>
      </c>
      <c r="P82" s="25" t="s">
        <v>473</v>
      </c>
      <c r="Q82" s="25" t="s">
        <v>473</v>
      </c>
      <c r="R82" s="25" t="s">
        <v>473</v>
      </c>
      <c r="S82" s="25" t="s">
        <v>473</v>
      </c>
      <c r="T82" s="25" t="s">
        <v>473</v>
      </c>
      <c r="U82" s="25" t="s">
        <v>367</v>
      </c>
      <c r="V82" s="25" t="s">
        <v>652</v>
      </c>
      <c r="W82" s="25" t="s">
        <v>473</v>
      </c>
      <c r="Y82" s="33" t="s">
        <v>615</v>
      </c>
      <c r="Z82" s="38" t="s">
        <v>616</v>
      </c>
      <c r="AA82" s="39" t="s">
        <v>473</v>
      </c>
      <c r="AB82" s="39" t="s">
        <v>473</v>
      </c>
      <c r="AC82" s="38" t="s">
        <v>473</v>
      </c>
      <c r="AD82" s="39" t="s">
        <v>473</v>
      </c>
      <c r="AE82" s="38" t="s">
        <v>473</v>
      </c>
      <c r="AF82" s="38" t="s">
        <v>617</v>
      </c>
      <c r="AG82" s="39"/>
      <c r="AH82" s="39" t="s">
        <v>532</v>
      </c>
      <c r="AI82" s="38"/>
    </row>
    <row r="83" spans="1:35" ht="16" thickBot="1" x14ac:dyDescent="0.25">
      <c r="M83" s="25" t="s">
        <v>653</v>
      </c>
      <c r="N83" s="25" t="s">
        <v>506</v>
      </c>
      <c r="O83" s="25" t="s">
        <v>473</v>
      </c>
      <c r="P83" s="25" t="s">
        <v>473</v>
      </c>
      <c r="Q83" s="25" t="s">
        <v>473</v>
      </c>
      <c r="R83" s="25" t="s">
        <v>473</v>
      </c>
      <c r="S83" s="25">
        <v>2</v>
      </c>
      <c r="T83" s="25" t="s">
        <v>473</v>
      </c>
      <c r="U83" s="25" t="s">
        <v>367</v>
      </c>
      <c r="V83" s="25" t="s">
        <v>532</v>
      </c>
      <c r="W83" s="25" t="s">
        <v>473</v>
      </c>
    </row>
    <row r="84" spans="1:35" ht="16" thickBot="1" x14ac:dyDescent="0.25">
      <c r="A84" s="35" t="s">
        <v>660</v>
      </c>
      <c r="B84" s="50">
        <v>0</v>
      </c>
      <c r="C84" s="45">
        <v>0</v>
      </c>
      <c r="D84">
        <v>0</v>
      </c>
      <c r="E84">
        <v>0</v>
      </c>
      <c r="F84">
        <v>0</v>
      </c>
      <c r="G84">
        <v>0</v>
      </c>
      <c r="H84">
        <v>0</v>
      </c>
      <c r="I84" t="s">
        <v>660</v>
      </c>
      <c r="J84">
        <v>0</v>
      </c>
      <c r="K84">
        <v>0</v>
      </c>
      <c r="M84" s="25" t="s">
        <v>654</v>
      </c>
      <c r="N84" s="25" t="s">
        <v>506</v>
      </c>
      <c r="O84" s="25" t="s">
        <v>473</v>
      </c>
      <c r="P84" s="25" t="s">
        <v>473</v>
      </c>
      <c r="Q84" s="25" t="s">
        <v>473</v>
      </c>
      <c r="R84" s="25" t="s">
        <v>538</v>
      </c>
      <c r="S84" s="25" t="s">
        <v>643</v>
      </c>
      <c r="T84" s="25" t="s">
        <v>473</v>
      </c>
      <c r="U84" s="25" t="s">
        <v>367</v>
      </c>
      <c r="V84" s="25">
        <v>1</v>
      </c>
      <c r="W84" s="25" t="s">
        <v>473</v>
      </c>
    </row>
    <row r="85" spans="1:35" ht="16" thickBot="1" x14ac:dyDescent="0.25">
      <c r="B85" s="50"/>
      <c r="Y85" s="25" t="s">
        <v>524</v>
      </c>
      <c r="Z85" t="s">
        <v>671</v>
      </c>
      <c r="AE85" s="25" t="s">
        <v>612</v>
      </c>
      <c r="AF85" t="s">
        <v>160</v>
      </c>
    </row>
    <row r="86" spans="1:35" ht="16" thickBot="1" x14ac:dyDescent="0.25">
      <c r="M86" s="36"/>
      <c r="N86" s="36"/>
      <c r="O86" s="36"/>
      <c r="P86" s="36"/>
      <c r="Q86" s="36"/>
      <c r="R86" s="36"/>
      <c r="S86" s="36"/>
      <c r="T86" s="36"/>
      <c r="U86" s="36"/>
      <c r="V86" s="36"/>
      <c r="W86" s="36"/>
      <c r="Y86" s="25" t="s">
        <v>526</v>
      </c>
      <c r="Z86" t="s">
        <v>671</v>
      </c>
      <c r="AE86" s="25" t="s">
        <v>613</v>
      </c>
      <c r="AF86" t="s">
        <v>160</v>
      </c>
    </row>
    <row r="87" spans="1:35" ht="16" thickBot="1" x14ac:dyDescent="0.25">
      <c r="Y87" s="25" t="s">
        <v>528</v>
      </c>
      <c r="Z87" t="s">
        <v>671</v>
      </c>
      <c r="AE87" s="25" t="s">
        <v>614</v>
      </c>
      <c r="AF87" t="s">
        <v>160</v>
      </c>
    </row>
    <row r="88" spans="1:35" ht="16" thickBot="1" x14ac:dyDescent="0.25">
      <c r="A88" t="s">
        <v>79</v>
      </c>
      <c r="K88" t="s">
        <v>640</v>
      </c>
      <c r="Y88" s="25" t="s">
        <v>536</v>
      </c>
      <c r="Z88" t="s">
        <v>672</v>
      </c>
      <c r="AE88" s="25" t="s">
        <v>599</v>
      </c>
      <c r="AF88" t="s">
        <v>159</v>
      </c>
    </row>
    <row r="89" spans="1:35" ht="16" thickBot="1" x14ac:dyDescent="0.25">
      <c r="A89" s="30" t="s">
        <v>260</v>
      </c>
      <c r="B89" s="30" t="s">
        <v>344</v>
      </c>
      <c r="C89" s="30" t="s">
        <v>345</v>
      </c>
      <c r="D89" s="30" t="s">
        <v>346</v>
      </c>
      <c r="E89" s="30" t="s">
        <v>289</v>
      </c>
      <c r="F89" s="30" t="s">
        <v>347</v>
      </c>
      <c r="G89" s="31" t="s">
        <v>516</v>
      </c>
      <c r="H89" s="31" t="s">
        <v>517</v>
      </c>
      <c r="I89" s="31" t="s">
        <v>518</v>
      </c>
      <c r="K89" s="53" t="s">
        <v>26</v>
      </c>
      <c r="L89" s="53" t="s">
        <v>618</v>
      </c>
      <c r="M89" s="54"/>
      <c r="N89" s="55"/>
      <c r="O89" s="54" t="s">
        <v>161</v>
      </c>
      <c r="P89" s="54"/>
      <c r="Q89" s="54"/>
      <c r="R89" s="55"/>
      <c r="S89" s="42"/>
      <c r="Y89" s="25" t="s">
        <v>539</v>
      </c>
      <c r="Z89" t="s">
        <v>672</v>
      </c>
      <c r="AE89" s="25" t="s">
        <v>600</v>
      </c>
      <c r="AF89" t="s">
        <v>159</v>
      </c>
    </row>
    <row r="90" spans="1:35" ht="16" thickBot="1" x14ac:dyDescent="0.25">
      <c r="A90" s="30" t="s">
        <v>343</v>
      </c>
      <c r="B90" s="30" t="s">
        <v>348</v>
      </c>
      <c r="C90" s="30">
        <v>1</v>
      </c>
      <c r="D90" s="30">
        <v>0</v>
      </c>
      <c r="E90" s="30" t="s">
        <v>203</v>
      </c>
      <c r="F90" s="30" t="s">
        <v>349</v>
      </c>
      <c r="G90" s="30">
        <v>1</v>
      </c>
      <c r="H90" s="30">
        <v>1</v>
      </c>
      <c r="I90" s="30">
        <v>1</v>
      </c>
      <c r="K90" s="41">
        <v>1</v>
      </c>
      <c r="L90" s="41" t="s">
        <v>620</v>
      </c>
      <c r="M90" s="42"/>
      <c r="N90" s="32"/>
      <c r="O90" s="42" t="s">
        <v>619</v>
      </c>
      <c r="P90" s="42"/>
      <c r="Q90" s="42"/>
      <c r="R90" s="32"/>
      <c r="S90" s="42"/>
      <c r="Y90" s="25" t="s">
        <v>542</v>
      </c>
      <c r="Z90" t="s">
        <v>672</v>
      </c>
      <c r="AE90" s="25" t="s">
        <v>601</v>
      </c>
      <c r="AF90" t="s">
        <v>159</v>
      </c>
    </row>
    <row r="91" spans="1:35" ht="16" thickBot="1" x14ac:dyDescent="0.25">
      <c r="A91" s="30" t="s">
        <v>350</v>
      </c>
      <c r="B91" s="30" t="s">
        <v>351</v>
      </c>
      <c r="C91" s="30">
        <v>2</v>
      </c>
      <c r="D91" s="30">
        <v>-1</v>
      </c>
      <c r="E91" s="30" t="s">
        <v>203</v>
      </c>
      <c r="F91" s="30" t="s">
        <v>352</v>
      </c>
      <c r="G91" s="31">
        <v>2</v>
      </c>
      <c r="H91" s="31">
        <v>2</v>
      </c>
      <c r="I91" s="31">
        <v>2</v>
      </c>
      <c r="K91" s="41">
        <v>6</v>
      </c>
      <c r="L91" s="41" t="s">
        <v>621</v>
      </c>
      <c r="M91" s="42"/>
      <c r="N91" s="32"/>
      <c r="O91" s="42"/>
      <c r="P91" s="42"/>
      <c r="Q91" s="42"/>
      <c r="R91" s="32"/>
      <c r="S91" s="42"/>
      <c r="Y91" s="25" t="s">
        <v>544</v>
      </c>
      <c r="Z91" t="s">
        <v>672</v>
      </c>
      <c r="AE91" s="51" t="s">
        <v>660</v>
      </c>
      <c r="AF91" t="s">
        <v>675</v>
      </c>
    </row>
    <row r="92" spans="1:35" ht="16" thickBot="1" x14ac:dyDescent="0.25">
      <c r="A92" s="30" t="s">
        <v>353</v>
      </c>
      <c r="B92" s="30" t="s">
        <v>354</v>
      </c>
      <c r="C92" s="30">
        <v>3</v>
      </c>
      <c r="D92" s="30">
        <v>-2</v>
      </c>
      <c r="E92" s="30" t="s">
        <v>203</v>
      </c>
      <c r="F92" s="30" t="s">
        <v>355</v>
      </c>
      <c r="G92" s="31">
        <v>3</v>
      </c>
      <c r="H92" s="31">
        <v>1</v>
      </c>
      <c r="I92" s="31">
        <v>1</v>
      </c>
      <c r="K92" s="41">
        <v>12</v>
      </c>
      <c r="L92" s="41" t="s">
        <v>622</v>
      </c>
      <c r="M92" s="42"/>
      <c r="N92" s="32"/>
      <c r="O92" s="42"/>
      <c r="P92" s="42"/>
      <c r="Q92" s="42"/>
      <c r="R92" s="32"/>
      <c r="S92" s="42"/>
      <c r="Y92" s="25" t="s">
        <v>545</v>
      </c>
      <c r="Z92" t="s">
        <v>672</v>
      </c>
    </row>
    <row r="93" spans="1:35" ht="16" thickBot="1" x14ac:dyDescent="0.25">
      <c r="A93" s="30" t="s">
        <v>356</v>
      </c>
      <c r="B93" s="30" t="s">
        <v>357</v>
      </c>
      <c r="C93" s="30">
        <v>3</v>
      </c>
      <c r="D93" s="30">
        <v>0</v>
      </c>
      <c r="E93" s="30" t="s">
        <v>367</v>
      </c>
      <c r="F93" s="30" t="s">
        <v>358</v>
      </c>
      <c r="G93" s="31">
        <v>4</v>
      </c>
      <c r="H93" s="31">
        <v>1</v>
      </c>
      <c r="I93" s="31">
        <v>4</v>
      </c>
      <c r="K93" s="41">
        <v>8</v>
      </c>
      <c r="L93" s="41" t="s">
        <v>624</v>
      </c>
      <c r="M93" s="42"/>
      <c r="N93" s="32"/>
      <c r="O93" s="42" t="s">
        <v>623</v>
      </c>
      <c r="P93" s="42"/>
      <c r="Q93" s="42"/>
      <c r="R93" s="32"/>
      <c r="S93" s="42"/>
      <c r="Y93" s="25" t="s">
        <v>552</v>
      </c>
      <c r="Z93" t="s">
        <v>518</v>
      </c>
    </row>
    <row r="94" spans="1:35" ht="16" thickBot="1" x14ac:dyDescent="0.25">
      <c r="A94" s="30" t="s">
        <v>359</v>
      </c>
      <c r="B94" s="30" t="s">
        <v>360</v>
      </c>
      <c r="C94" s="30">
        <v>5</v>
      </c>
      <c r="D94" s="30">
        <v>-1</v>
      </c>
      <c r="E94" s="30" t="s">
        <v>367</v>
      </c>
      <c r="F94" s="30" t="s">
        <v>361</v>
      </c>
      <c r="G94" s="31">
        <v>4</v>
      </c>
      <c r="H94" s="31">
        <v>4</v>
      </c>
      <c r="I94" s="31">
        <v>7</v>
      </c>
      <c r="K94" s="41">
        <v>9</v>
      </c>
      <c r="L94" s="41" t="s">
        <v>625</v>
      </c>
      <c r="M94" s="42"/>
      <c r="N94" s="32"/>
      <c r="O94" s="42"/>
      <c r="P94" s="42"/>
      <c r="Q94" s="42"/>
      <c r="R94" s="32"/>
      <c r="S94" s="42"/>
      <c r="Y94" s="25" t="s">
        <v>553</v>
      </c>
      <c r="Z94" t="s">
        <v>518</v>
      </c>
    </row>
    <row r="95" spans="1:35" ht="16" thickBot="1" x14ac:dyDescent="0.25">
      <c r="A95" s="30" t="s">
        <v>362</v>
      </c>
      <c r="B95" s="30" t="s">
        <v>363</v>
      </c>
      <c r="C95" s="30">
        <v>7</v>
      </c>
      <c r="D95" s="30">
        <v>-2</v>
      </c>
      <c r="E95" s="30" t="s">
        <v>367</v>
      </c>
      <c r="F95" s="30" t="s">
        <v>364</v>
      </c>
      <c r="G95" s="31">
        <v>6</v>
      </c>
      <c r="H95" s="31">
        <v>6</v>
      </c>
      <c r="I95" s="31">
        <v>9</v>
      </c>
      <c r="K95" s="41">
        <v>14</v>
      </c>
      <c r="L95" s="41" t="s">
        <v>159</v>
      </c>
      <c r="M95" s="42"/>
      <c r="N95" s="32"/>
      <c r="O95" s="42" t="s">
        <v>626</v>
      </c>
      <c r="P95" s="42"/>
      <c r="Q95" s="42"/>
      <c r="R95" s="32"/>
      <c r="S95" s="42"/>
      <c r="Y95" s="25" t="s">
        <v>554</v>
      </c>
      <c r="Z95" t="s">
        <v>518</v>
      </c>
    </row>
    <row r="96" spans="1:35" ht="16" thickBot="1" x14ac:dyDescent="0.25">
      <c r="A96" s="30" t="s">
        <v>365</v>
      </c>
      <c r="B96" s="30" t="s">
        <v>366</v>
      </c>
      <c r="C96" s="30">
        <v>5</v>
      </c>
      <c r="D96" s="30">
        <v>0</v>
      </c>
      <c r="E96" s="30" t="s">
        <v>367</v>
      </c>
      <c r="F96" s="30" t="s">
        <v>358</v>
      </c>
      <c r="G96" s="31">
        <v>6</v>
      </c>
      <c r="H96" s="31">
        <v>6</v>
      </c>
      <c r="I96" s="31">
        <v>3</v>
      </c>
      <c r="K96" s="41">
        <v>16</v>
      </c>
      <c r="L96" s="41" t="s">
        <v>160</v>
      </c>
      <c r="M96" s="42" t="s">
        <v>680</v>
      </c>
      <c r="N96" s="32"/>
      <c r="O96" s="42"/>
      <c r="P96" s="42"/>
      <c r="Q96" s="42"/>
      <c r="R96" s="32"/>
      <c r="S96" s="42"/>
      <c r="Y96" s="25" t="s">
        <v>157</v>
      </c>
      <c r="Z96" t="s">
        <v>518</v>
      </c>
      <c r="AE96" s="25" t="s">
        <v>641</v>
      </c>
      <c r="AF96" t="s">
        <v>201</v>
      </c>
    </row>
    <row r="97" spans="1:32" ht="16" thickBot="1" x14ac:dyDescent="0.25">
      <c r="A97" s="30" t="s">
        <v>368</v>
      </c>
      <c r="B97" s="30" t="s">
        <v>369</v>
      </c>
      <c r="C97" s="30">
        <v>7</v>
      </c>
      <c r="D97" s="30">
        <v>-1</v>
      </c>
      <c r="E97" s="30" t="s">
        <v>367</v>
      </c>
      <c r="F97" s="30" t="s">
        <v>361</v>
      </c>
      <c r="G97" s="31">
        <v>8</v>
      </c>
      <c r="H97" s="31">
        <v>8</v>
      </c>
      <c r="I97" s="31">
        <v>5</v>
      </c>
      <c r="K97" s="41">
        <v>20</v>
      </c>
      <c r="L97" s="41" t="s">
        <v>628</v>
      </c>
      <c r="M97" s="42"/>
      <c r="N97" s="32"/>
      <c r="O97" s="42" t="s">
        <v>627</v>
      </c>
      <c r="P97" s="42"/>
      <c r="Q97" s="42"/>
      <c r="R97" s="32"/>
      <c r="S97" s="42"/>
      <c r="Y97" s="25" t="s">
        <v>556</v>
      </c>
      <c r="Z97" t="s">
        <v>518</v>
      </c>
      <c r="AE97" s="25" t="s">
        <v>645</v>
      </c>
      <c r="AF97" t="s">
        <v>201</v>
      </c>
    </row>
    <row r="98" spans="1:32" ht="16" thickBot="1" x14ac:dyDescent="0.25">
      <c r="A98" s="30" t="s">
        <v>370</v>
      </c>
      <c r="B98" s="30" t="s">
        <v>371</v>
      </c>
      <c r="C98" s="30">
        <v>9</v>
      </c>
      <c r="D98" s="30">
        <v>-2</v>
      </c>
      <c r="E98" s="30" t="s">
        <v>367</v>
      </c>
      <c r="F98" s="30" t="s">
        <v>364</v>
      </c>
      <c r="G98" s="31">
        <v>10</v>
      </c>
      <c r="H98" s="31">
        <v>10</v>
      </c>
      <c r="I98" s="31">
        <v>7</v>
      </c>
      <c r="K98" s="41">
        <v>30</v>
      </c>
      <c r="L98" s="41" t="s">
        <v>629</v>
      </c>
      <c r="M98" s="42"/>
      <c r="N98" s="32"/>
      <c r="O98" s="42"/>
      <c r="P98" s="42"/>
      <c r="Q98" s="42"/>
      <c r="R98" s="32"/>
      <c r="S98" s="42"/>
      <c r="Y98" s="25" t="s">
        <v>595</v>
      </c>
      <c r="Z98" t="s">
        <v>673</v>
      </c>
      <c r="AE98" s="25" t="s">
        <v>647</v>
      </c>
      <c r="AF98" t="s">
        <v>201</v>
      </c>
    </row>
    <row r="99" spans="1:32" ht="16" thickBot="1" x14ac:dyDescent="0.25">
      <c r="A99" s="30" t="s">
        <v>372</v>
      </c>
      <c r="B99" s="30" t="s">
        <v>369</v>
      </c>
      <c r="C99" s="30">
        <v>6</v>
      </c>
      <c r="D99" s="30">
        <v>-1</v>
      </c>
      <c r="E99" s="30" t="s">
        <v>367</v>
      </c>
      <c r="F99" s="30" t="s">
        <v>361</v>
      </c>
      <c r="G99" s="31">
        <v>7</v>
      </c>
      <c r="H99" s="31">
        <v>5</v>
      </c>
      <c r="I99" s="31">
        <v>6</v>
      </c>
      <c r="K99" s="41">
        <v>31</v>
      </c>
      <c r="L99" s="41" t="s">
        <v>630</v>
      </c>
      <c r="M99" s="42"/>
      <c r="N99" s="32"/>
      <c r="O99" s="42"/>
      <c r="P99" s="42"/>
      <c r="Q99" s="42"/>
      <c r="R99" s="32"/>
      <c r="S99" s="42"/>
      <c r="Y99" s="25" t="s">
        <v>596</v>
      </c>
      <c r="Z99" t="s">
        <v>673</v>
      </c>
      <c r="AE99" s="25" t="s">
        <v>649</v>
      </c>
      <c r="AF99" t="s">
        <v>201</v>
      </c>
    </row>
    <row r="100" spans="1:32" x14ac:dyDescent="0.2">
      <c r="A100" s="30" t="s">
        <v>373</v>
      </c>
      <c r="B100" s="30" t="s">
        <v>371</v>
      </c>
      <c r="C100" s="30">
        <v>9</v>
      </c>
      <c r="D100" s="30">
        <v>-2</v>
      </c>
      <c r="E100" s="30" t="s">
        <v>367</v>
      </c>
      <c r="F100" s="30" t="s">
        <v>364</v>
      </c>
      <c r="G100" s="31">
        <v>10</v>
      </c>
      <c r="H100" s="31">
        <v>8</v>
      </c>
      <c r="I100" s="31">
        <v>9</v>
      </c>
      <c r="K100" s="41">
        <v>33</v>
      </c>
      <c r="L100" s="41" t="s">
        <v>631</v>
      </c>
      <c r="M100" s="42"/>
      <c r="N100" s="32"/>
      <c r="O100" s="42"/>
      <c r="P100" s="42"/>
      <c r="Q100" s="42"/>
      <c r="R100" s="32"/>
      <c r="S100" s="42"/>
      <c r="Y100" s="51" t="s">
        <v>660</v>
      </c>
      <c r="Z100" t="s">
        <v>675</v>
      </c>
      <c r="AE100" s="45" t="s">
        <v>660</v>
      </c>
      <c r="AF100" t="s">
        <v>675</v>
      </c>
    </row>
    <row r="101" spans="1:32" x14ac:dyDescent="0.2">
      <c r="A101" s="30" t="s">
        <v>374</v>
      </c>
      <c r="B101" s="30" t="s">
        <v>375</v>
      </c>
      <c r="C101" s="30">
        <v>12</v>
      </c>
      <c r="D101" s="30">
        <v>-3</v>
      </c>
      <c r="E101" s="30" t="s">
        <v>367</v>
      </c>
      <c r="F101" s="30" t="s">
        <v>376</v>
      </c>
      <c r="G101" s="31">
        <v>13</v>
      </c>
      <c r="H101" s="31">
        <v>11</v>
      </c>
      <c r="I101" s="31">
        <v>12</v>
      </c>
      <c r="K101" s="41">
        <v>41</v>
      </c>
      <c r="L101" s="41" t="s">
        <v>632</v>
      </c>
      <c r="M101" s="42"/>
      <c r="N101" s="32"/>
      <c r="O101" s="42"/>
      <c r="P101" s="42"/>
      <c r="Q101" s="42"/>
      <c r="R101" s="32"/>
      <c r="S101" s="42"/>
    </row>
    <row r="102" spans="1:32" x14ac:dyDescent="0.2">
      <c r="A102" s="30" t="s">
        <v>377</v>
      </c>
      <c r="B102" s="30" t="s">
        <v>378</v>
      </c>
      <c r="C102" s="30">
        <v>2</v>
      </c>
      <c r="D102" s="30">
        <v>-2</v>
      </c>
      <c r="E102" s="30" t="s">
        <v>204</v>
      </c>
      <c r="F102" s="30" t="s">
        <v>379</v>
      </c>
      <c r="G102" s="31">
        <v>1</v>
      </c>
      <c r="H102" s="31">
        <v>1</v>
      </c>
      <c r="I102" s="31">
        <v>3</v>
      </c>
      <c r="K102" s="41">
        <v>50</v>
      </c>
      <c r="L102" s="41" t="s">
        <v>634</v>
      </c>
      <c r="M102" s="42"/>
      <c r="N102" s="32"/>
      <c r="O102" s="42" t="s">
        <v>633</v>
      </c>
      <c r="P102" s="42"/>
      <c r="Q102" s="42"/>
      <c r="R102" s="32"/>
      <c r="S102" s="42"/>
    </row>
    <row r="103" spans="1:32" x14ac:dyDescent="0.2">
      <c r="A103" s="48" t="s">
        <v>660</v>
      </c>
      <c r="B103">
        <v>0</v>
      </c>
      <c r="C103" s="48">
        <v>0</v>
      </c>
      <c r="D103" s="48">
        <v>0</v>
      </c>
      <c r="E103" s="48" t="s">
        <v>660</v>
      </c>
      <c r="F103" s="49">
        <v>0</v>
      </c>
      <c r="G103" s="48">
        <v>0</v>
      </c>
      <c r="H103" s="48">
        <v>0</v>
      </c>
      <c r="I103" s="48">
        <v>0</v>
      </c>
      <c r="K103" s="41">
        <v>60</v>
      </c>
      <c r="L103" s="41" t="s">
        <v>635</v>
      </c>
      <c r="M103" s="42"/>
      <c r="N103" s="32"/>
      <c r="O103" s="42"/>
      <c r="P103" s="42"/>
      <c r="Q103" s="42"/>
      <c r="R103" s="32"/>
      <c r="S103" s="42"/>
    </row>
    <row r="104" spans="1:32" x14ac:dyDescent="0.2">
      <c r="K104" s="41">
        <v>70</v>
      </c>
      <c r="L104" s="41" t="s">
        <v>636</v>
      </c>
      <c r="M104" s="42"/>
      <c r="N104" s="32"/>
      <c r="O104" s="42"/>
      <c r="P104" s="42"/>
      <c r="Q104" s="42"/>
      <c r="R104" s="32"/>
      <c r="S104" s="42"/>
    </row>
    <row r="105" spans="1:32" x14ac:dyDescent="0.2">
      <c r="K105" s="41">
        <v>100</v>
      </c>
      <c r="L105" s="41" t="s">
        <v>638</v>
      </c>
      <c r="M105" s="42"/>
      <c r="N105" s="32"/>
      <c r="O105" s="42" t="s">
        <v>637</v>
      </c>
      <c r="P105" s="42"/>
      <c r="Q105" s="42"/>
      <c r="R105" s="32"/>
      <c r="S105" s="42"/>
    </row>
    <row r="106" spans="1:32" x14ac:dyDescent="0.2">
      <c r="K106" s="41">
        <v>200</v>
      </c>
      <c r="L106" s="41" t="s">
        <v>637</v>
      </c>
      <c r="M106" s="42"/>
      <c r="N106" s="32"/>
      <c r="O106" s="42"/>
      <c r="P106" s="42"/>
      <c r="Q106" s="42"/>
      <c r="R106" s="32"/>
      <c r="S106" s="42"/>
    </row>
    <row r="107" spans="1:32" ht="16" thickBot="1" x14ac:dyDescent="0.25">
      <c r="K107" s="43">
        <v>400</v>
      </c>
      <c r="L107" s="43" t="s">
        <v>639</v>
      </c>
      <c r="M107" s="44"/>
      <c r="N107" s="16"/>
      <c r="O107" s="44"/>
      <c r="P107" s="44"/>
      <c r="Q107" s="44"/>
      <c r="R107" s="16"/>
      <c r="S107" s="42"/>
    </row>
    <row r="108" spans="1:32" x14ac:dyDescent="0.2">
      <c r="S108" s="42"/>
    </row>
    <row r="109" spans="1:32" x14ac:dyDescent="0.2">
      <c r="S109" s="42"/>
    </row>
    <row r="119" ht="15.75" customHeight="1" x14ac:dyDescent="0.2"/>
    <row r="122" ht="15.75" customHeight="1" x14ac:dyDescent="0.2"/>
    <row r="127" ht="15.75" customHeight="1" x14ac:dyDescent="0.2"/>
  </sheetData>
  <mergeCells count="4">
    <mergeCell ref="X41:X42"/>
    <mergeCell ref="Y41:Y42"/>
    <mergeCell ref="Z41:Z42"/>
    <mergeCell ref="AA41:AA42"/>
  </mergeCells>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Y231"/>
  <sheetViews>
    <sheetView topLeftCell="A31" workbookViewId="0">
      <selection activeCell="G134" sqref="G134"/>
    </sheetView>
  </sheetViews>
  <sheetFormatPr baseColWidth="10" defaultColWidth="8.83203125" defaultRowHeight="15" x14ac:dyDescent="0.2"/>
  <cols>
    <col min="1" max="1" width="12.33203125" bestFit="1" customWidth="1"/>
    <col min="8" max="8" width="16.83203125" bestFit="1" customWidth="1"/>
    <col min="20" max="20" width="17.1640625" customWidth="1"/>
  </cols>
  <sheetData>
    <row r="1" spans="1:22" x14ac:dyDescent="0.2">
      <c r="A1" t="s">
        <v>155</v>
      </c>
      <c r="S1" t="s">
        <v>1065</v>
      </c>
    </row>
    <row r="2" spans="1:22" x14ac:dyDescent="0.2">
      <c r="A2" t="s">
        <v>260</v>
      </c>
      <c r="B2" t="s">
        <v>782</v>
      </c>
      <c r="C2" t="s">
        <v>344</v>
      </c>
      <c r="D2" t="s">
        <v>519</v>
      </c>
      <c r="E2" t="s">
        <v>520</v>
      </c>
      <c r="F2" t="s">
        <v>127</v>
      </c>
      <c r="G2" t="s">
        <v>89</v>
      </c>
      <c r="H2" t="s">
        <v>783</v>
      </c>
      <c r="I2" t="s">
        <v>80</v>
      </c>
      <c r="J2" t="s">
        <v>522</v>
      </c>
      <c r="K2" t="s">
        <v>289</v>
      </c>
      <c r="L2" t="s">
        <v>347</v>
      </c>
      <c r="M2" t="s">
        <v>523</v>
      </c>
      <c r="R2" t="s">
        <v>374</v>
      </c>
      <c r="S2">
        <v>12</v>
      </c>
      <c r="U2" t="s">
        <v>596</v>
      </c>
      <c r="V2">
        <v>5</v>
      </c>
    </row>
    <row r="3" spans="1:22" x14ac:dyDescent="0.2">
      <c r="A3" t="s">
        <v>526</v>
      </c>
      <c r="B3" s="99">
        <v>4</v>
      </c>
      <c r="C3">
        <v>500</v>
      </c>
      <c r="D3">
        <v>1</v>
      </c>
      <c r="E3">
        <v>1</v>
      </c>
      <c r="F3">
        <v>0.5</v>
      </c>
      <c r="G3">
        <v>6</v>
      </c>
      <c r="H3" t="s">
        <v>380</v>
      </c>
      <c r="I3">
        <v>0</v>
      </c>
      <c r="J3">
        <v>4</v>
      </c>
      <c r="K3" t="s">
        <v>367</v>
      </c>
      <c r="L3">
        <v>2</v>
      </c>
      <c r="M3">
        <v>2</v>
      </c>
      <c r="R3" t="s">
        <v>268</v>
      </c>
      <c r="S3">
        <v>3</v>
      </c>
      <c r="U3" t="s">
        <v>268</v>
      </c>
      <c r="V3">
        <v>3</v>
      </c>
    </row>
    <row r="4" spans="1:22" x14ac:dyDescent="0.2">
      <c r="A4" t="s">
        <v>528</v>
      </c>
      <c r="B4">
        <v>8</v>
      </c>
      <c r="C4">
        <v>1000</v>
      </c>
      <c r="D4">
        <v>1</v>
      </c>
      <c r="E4">
        <v>1</v>
      </c>
      <c r="F4">
        <v>0.25</v>
      </c>
      <c r="G4">
        <v>9</v>
      </c>
      <c r="H4" t="s">
        <v>380</v>
      </c>
      <c r="I4">
        <v>0</v>
      </c>
      <c r="J4">
        <v>6</v>
      </c>
      <c r="K4" t="s">
        <v>367</v>
      </c>
      <c r="L4">
        <v>4</v>
      </c>
      <c r="M4">
        <v>3</v>
      </c>
      <c r="R4" t="s">
        <v>266</v>
      </c>
      <c r="S4">
        <v>3</v>
      </c>
      <c r="U4" t="s">
        <v>266</v>
      </c>
      <c r="V4">
        <v>3</v>
      </c>
    </row>
    <row r="5" spans="1:22" x14ac:dyDescent="0.2">
      <c r="A5" t="s">
        <v>524</v>
      </c>
      <c r="B5">
        <v>0</v>
      </c>
      <c r="C5">
        <v>100</v>
      </c>
      <c r="D5">
        <v>1</v>
      </c>
      <c r="E5">
        <v>1</v>
      </c>
      <c r="F5">
        <v>1</v>
      </c>
      <c r="G5">
        <v>3</v>
      </c>
      <c r="H5" t="s">
        <v>380</v>
      </c>
      <c r="I5">
        <v>0</v>
      </c>
      <c r="J5">
        <v>2</v>
      </c>
      <c r="K5" t="s">
        <v>367</v>
      </c>
      <c r="L5">
        <v>1</v>
      </c>
      <c r="M5">
        <v>1</v>
      </c>
      <c r="R5" t="s">
        <v>80</v>
      </c>
      <c r="S5">
        <v>1</v>
      </c>
      <c r="U5" t="s">
        <v>1070</v>
      </c>
      <c r="V5">
        <v>1</v>
      </c>
    </row>
    <row r="6" spans="1:22" x14ac:dyDescent="0.2">
      <c r="R6" t="s">
        <v>82</v>
      </c>
      <c r="S6">
        <v>1</v>
      </c>
    </row>
    <row r="7" spans="1:22" x14ac:dyDescent="0.2">
      <c r="A7" t="s">
        <v>784</v>
      </c>
      <c r="R7" t="s">
        <v>1073</v>
      </c>
      <c r="S7">
        <v>-5</v>
      </c>
    </row>
    <row r="8" spans="1:22" x14ac:dyDescent="0.2">
      <c r="A8" t="s">
        <v>785</v>
      </c>
      <c r="B8">
        <v>13</v>
      </c>
      <c r="C8" t="s">
        <v>786</v>
      </c>
      <c r="D8">
        <v>1</v>
      </c>
      <c r="E8">
        <v>1</v>
      </c>
      <c r="F8">
        <v>0.5</v>
      </c>
      <c r="G8">
        <v>11</v>
      </c>
      <c r="H8" t="s">
        <v>787</v>
      </c>
      <c r="I8">
        <v>0</v>
      </c>
      <c r="J8">
        <v>5</v>
      </c>
      <c r="K8" t="s">
        <v>367</v>
      </c>
      <c r="L8">
        <v>4.5</v>
      </c>
      <c r="M8">
        <v>2</v>
      </c>
      <c r="R8" t="s">
        <v>645</v>
      </c>
      <c r="S8">
        <v>4</v>
      </c>
    </row>
    <row r="9" spans="1:22" x14ac:dyDescent="0.2">
      <c r="A9" t="s">
        <v>795</v>
      </c>
      <c r="B9">
        <v>13</v>
      </c>
      <c r="C9" t="s">
        <v>796</v>
      </c>
      <c r="D9">
        <v>1</v>
      </c>
      <c r="E9">
        <v>1</v>
      </c>
      <c r="F9">
        <v>0.25</v>
      </c>
      <c r="G9">
        <v>11</v>
      </c>
      <c r="H9" t="s">
        <v>380</v>
      </c>
      <c r="I9">
        <v>0</v>
      </c>
      <c r="J9">
        <v>7</v>
      </c>
      <c r="K9" t="s">
        <v>367</v>
      </c>
      <c r="L9">
        <v>5</v>
      </c>
      <c r="M9">
        <v>3</v>
      </c>
      <c r="R9" t="s">
        <v>1074</v>
      </c>
      <c r="S9">
        <v>1</v>
      </c>
    </row>
    <row r="10" spans="1:22" x14ac:dyDescent="0.2">
      <c r="A10" t="s">
        <v>789</v>
      </c>
      <c r="B10">
        <v>18</v>
      </c>
      <c r="C10" t="s">
        <v>790</v>
      </c>
      <c r="D10">
        <v>1</v>
      </c>
      <c r="E10">
        <v>1</v>
      </c>
      <c r="F10">
        <v>0.25</v>
      </c>
      <c r="G10">
        <v>15</v>
      </c>
      <c r="H10" t="s">
        <v>787</v>
      </c>
      <c r="I10">
        <v>0</v>
      </c>
      <c r="J10">
        <v>7</v>
      </c>
      <c r="K10" t="s">
        <v>367</v>
      </c>
      <c r="L10">
        <v>7</v>
      </c>
      <c r="M10">
        <v>3</v>
      </c>
      <c r="R10" t="s">
        <v>1066</v>
      </c>
      <c r="S10">
        <v>8</v>
      </c>
      <c r="U10" t="s">
        <v>1069</v>
      </c>
      <c r="V10">
        <f>V2+V3+V5</f>
        <v>9</v>
      </c>
    </row>
    <row r="11" spans="1:22" x14ac:dyDescent="0.2">
      <c r="A11" t="s">
        <v>156</v>
      </c>
      <c r="B11">
        <v>1</v>
      </c>
      <c r="C11" t="s">
        <v>788</v>
      </c>
      <c r="D11">
        <v>1</v>
      </c>
      <c r="E11">
        <v>1</v>
      </c>
      <c r="F11">
        <v>1</v>
      </c>
      <c r="G11">
        <v>4</v>
      </c>
      <c r="H11" t="s">
        <v>787</v>
      </c>
      <c r="I11">
        <v>0</v>
      </c>
      <c r="J11">
        <v>2</v>
      </c>
      <c r="K11" t="s">
        <v>367</v>
      </c>
      <c r="L11">
        <v>1.5</v>
      </c>
      <c r="M11">
        <v>1</v>
      </c>
      <c r="R11" t="s">
        <v>1067</v>
      </c>
      <c r="S11">
        <v>-1</v>
      </c>
    </row>
    <row r="12" spans="1:22" x14ac:dyDescent="0.2">
      <c r="A12" t="s">
        <v>793</v>
      </c>
      <c r="B12">
        <v>10</v>
      </c>
      <c r="C12" t="s">
        <v>794</v>
      </c>
      <c r="D12">
        <v>1</v>
      </c>
      <c r="E12">
        <v>1</v>
      </c>
      <c r="F12">
        <v>0.5</v>
      </c>
      <c r="G12">
        <v>9</v>
      </c>
      <c r="H12" t="s">
        <v>787</v>
      </c>
      <c r="I12">
        <v>0</v>
      </c>
      <c r="J12">
        <v>5</v>
      </c>
      <c r="K12" t="s">
        <v>367</v>
      </c>
      <c r="L12">
        <v>3.5</v>
      </c>
      <c r="M12">
        <v>2</v>
      </c>
      <c r="R12" t="s">
        <v>1068</v>
      </c>
      <c r="S12">
        <v>12</v>
      </c>
      <c r="U12" t="s">
        <v>91</v>
      </c>
      <c r="V12">
        <f>V2+V4</f>
        <v>8</v>
      </c>
    </row>
    <row r="13" spans="1:22" x14ac:dyDescent="0.2">
      <c r="A13" t="s">
        <v>791</v>
      </c>
      <c r="B13">
        <v>4</v>
      </c>
      <c r="C13" t="s">
        <v>792</v>
      </c>
      <c r="D13">
        <v>1</v>
      </c>
      <c r="E13">
        <v>1</v>
      </c>
      <c r="F13">
        <v>2</v>
      </c>
      <c r="G13">
        <v>2</v>
      </c>
      <c r="H13" t="s">
        <v>380</v>
      </c>
      <c r="I13">
        <v>0</v>
      </c>
      <c r="J13">
        <v>1</v>
      </c>
      <c r="K13" t="s">
        <v>367</v>
      </c>
      <c r="L13">
        <v>0.8</v>
      </c>
      <c r="M13">
        <v>1</v>
      </c>
    </row>
    <row r="14" spans="1:22" x14ac:dyDescent="0.2">
      <c r="A14" t="s">
        <v>797</v>
      </c>
      <c r="B14">
        <v>16</v>
      </c>
      <c r="C14" t="s">
        <v>798</v>
      </c>
      <c r="D14">
        <v>1</v>
      </c>
      <c r="E14">
        <v>1</v>
      </c>
      <c r="F14">
        <v>0.25</v>
      </c>
      <c r="G14">
        <v>13</v>
      </c>
      <c r="H14" t="s">
        <v>380</v>
      </c>
      <c r="I14">
        <v>0</v>
      </c>
      <c r="J14">
        <v>7</v>
      </c>
      <c r="K14" t="s">
        <v>367</v>
      </c>
      <c r="L14">
        <v>6</v>
      </c>
      <c r="M14">
        <v>3</v>
      </c>
    </row>
    <row r="15" spans="1:22" x14ac:dyDescent="0.2">
      <c r="R15" t="s">
        <v>1075</v>
      </c>
      <c r="U15" t="s">
        <v>1071</v>
      </c>
    </row>
    <row r="16" spans="1:22" x14ac:dyDescent="0.2">
      <c r="A16" t="s">
        <v>890</v>
      </c>
      <c r="R16" t="s">
        <v>1076</v>
      </c>
      <c r="U16" t="s">
        <v>1072</v>
      </c>
    </row>
    <row r="17" spans="1:18" x14ac:dyDescent="0.2">
      <c r="A17" t="s">
        <v>891</v>
      </c>
      <c r="R17" t="s">
        <v>1077</v>
      </c>
    </row>
    <row r="18" spans="1:18" x14ac:dyDescent="0.2">
      <c r="A18" t="s">
        <v>892</v>
      </c>
    </row>
    <row r="19" spans="1:18" x14ac:dyDescent="0.2">
      <c r="A19" t="s">
        <v>893</v>
      </c>
    </row>
    <row r="20" spans="1:18" x14ac:dyDescent="0.2">
      <c r="A20" t="s">
        <v>894</v>
      </c>
      <c r="R20" t="s">
        <v>1078</v>
      </c>
    </row>
    <row r="21" spans="1:18" x14ac:dyDescent="0.2">
      <c r="A21" t="s">
        <v>895</v>
      </c>
    </row>
    <row r="22" spans="1:18" x14ac:dyDescent="0.2">
      <c r="A22" t="s">
        <v>896</v>
      </c>
    </row>
    <row r="23" spans="1:18" x14ac:dyDescent="0.2">
      <c r="A23" t="s">
        <v>897</v>
      </c>
    </row>
    <row r="25" spans="1:18" x14ac:dyDescent="0.2">
      <c r="A25" t="s">
        <v>518</v>
      </c>
    </row>
    <row r="26" spans="1:18" x14ac:dyDescent="0.2">
      <c r="A26" t="s">
        <v>260</v>
      </c>
      <c r="B26" t="s">
        <v>782</v>
      </c>
      <c r="C26" t="s">
        <v>344</v>
      </c>
      <c r="D26" t="s">
        <v>519</v>
      </c>
      <c r="E26" t="s">
        <v>520</v>
      </c>
      <c r="F26" t="s">
        <v>127</v>
      </c>
      <c r="G26" t="s">
        <v>89</v>
      </c>
      <c r="H26" t="s">
        <v>783</v>
      </c>
      <c r="I26" t="s">
        <v>80</v>
      </c>
      <c r="J26" t="s">
        <v>522</v>
      </c>
      <c r="K26" t="s">
        <v>289</v>
      </c>
      <c r="L26" t="s">
        <v>347</v>
      </c>
      <c r="M26" t="s">
        <v>523</v>
      </c>
    </row>
    <row r="27" spans="1:18" x14ac:dyDescent="0.2">
      <c r="A27" t="s">
        <v>552</v>
      </c>
      <c r="B27">
        <v>0</v>
      </c>
      <c r="C27" t="s">
        <v>946</v>
      </c>
      <c r="D27">
        <v>1</v>
      </c>
      <c r="E27">
        <v>1</v>
      </c>
      <c r="F27" t="s">
        <v>473</v>
      </c>
      <c r="G27">
        <v>2</v>
      </c>
      <c r="H27" t="s">
        <v>382</v>
      </c>
      <c r="I27">
        <v>0</v>
      </c>
      <c r="J27">
        <v>2</v>
      </c>
      <c r="K27" t="s">
        <v>387</v>
      </c>
      <c r="L27">
        <v>1</v>
      </c>
      <c r="M27">
        <v>2</v>
      </c>
    </row>
    <row r="28" spans="1:18" x14ac:dyDescent="0.2">
      <c r="A28" t="s">
        <v>157</v>
      </c>
      <c r="B28">
        <v>6</v>
      </c>
      <c r="C28" t="s">
        <v>945</v>
      </c>
      <c r="D28">
        <v>1</v>
      </c>
      <c r="E28">
        <v>1</v>
      </c>
      <c r="F28">
        <v>0.5</v>
      </c>
      <c r="G28">
        <v>6</v>
      </c>
      <c r="H28" t="s">
        <v>382</v>
      </c>
      <c r="I28">
        <v>0</v>
      </c>
      <c r="J28">
        <v>4</v>
      </c>
      <c r="K28" t="s">
        <v>367</v>
      </c>
      <c r="L28">
        <v>5</v>
      </c>
      <c r="M28">
        <v>2</v>
      </c>
    </row>
    <row r="29" spans="1:18" x14ac:dyDescent="0.2">
      <c r="A29" t="s">
        <v>553</v>
      </c>
      <c r="B29">
        <v>4</v>
      </c>
      <c r="C29" t="s">
        <v>947</v>
      </c>
      <c r="D29">
        <v>1</v>
      </c>
      <c r="E29">
        <v>1</v>
      </c>
      <c r="F29" t="s">
        <v>473</v>
      </c>
      <c r="G29">
        <v>4</v>
      </c>
      <c r="H29" t="s">
        <v>382</v>
      </c>
      <c r="I29">
        <v>0</v>
      </c>
      <c r="J29">
        <v>3</v>
      </c>
      <c r="K29" t="s">
        <v>367</v>
      </c>
      <c r="L29">
        <v>3</v>
      </c>
      <c r="M29">
        <v>2</v>
      </c>
    </row>
    <row r="31" spans="1:18" x14ac:dyDescent="0.2">
      <c r="A31" t="s">
        <v>784</v>
      </c>
    </row>
    <row r="32" spans="1:18" x14ac:dyDescent="0.2">
      <c r="A32" t="s">
        <v>809</v>
      </c>
      <c r="B32">
        <v>7</v>
      </c>
      <c r="C32" t="s">
        <v>810</v>
      </c>
      <c r="D32">
        <v>1</v>
      </c>
      <c r="E32">
        <v>1</v>
      </c>
      <c r="F32" t="s">
        <v>473</v>
      </c>
      <c r="G32">
        <v>6</v>
      </c>
      <c r="H32" t="s">
        <v>382</v>
      </c>
      <c r="I32">
        <v>0</v>
      </c>
      <c r="J32">
        <v>3</v>
      </c>
      <c r="K32" t="s">
        <v>367</v>
      </c>
      <c r="L32">
        <v>4</v>
      </c>
      <c r="M32">
        <v>2</v>
      </c>
    </row>
    <row r="33" spans="1:13" x14ac:dyDescent="0.2">
      <c r="A33" t="s">
        <v>805</v>
      </c>
      <c r="B33">
        <v>2</v>
      </c>
      <c r="C33" t="s">
        <v>806</v>
      </c>
      <c r="D33">
        <v>1</v>
      </c>
      <c r="E33">
        <v>1</v>
      </c>
      <c r="F33" t="s">
        <v>473</v>
      </c>
      <c r="G33">
        <v>3</v>
      </c>
      <c r="H33" t="s">
        <v>804</v>
      </c>
      <c r="I33">
        <v>0</v>
      </c>
      <c r="J33">
        <v>2</v>
      </c>
      <c r="K33" t="s">
        <v>367</v>
      </c>
      <c r="L33">
        <v>1.5</v>
      </c>
      <c r="M33">
        <v>2</v>
      </c>
    </row>
    <row r="34" spans="1:13" x14ac:dyDescent="0.2">
      <c r="A34" t="s">
        <v>948</v>
      </c>
      <c r="B34">
        <v>6</v>
      </c>
      <c r="C34" t="s">
        <v>847</v>
      </c>
      <c r="D34">
        <v>1</v>
      </c>
      <c r="E34">
        <v>1</v>
      </c>
      <c r="F34" t="s">
        <v>473</v>
      </c>
      <c r="G34">
        <v>5</v>
      </c>
      <c r="H34" t="s">
        <v>804</v>
      </c>
      <c r="I34">
        <v>0</v>
      </c>
      <c r="J34">
        <v>3</v>
      </c>
      <c r="K34" t="s">
        <v>367</v>
      </c>
      <c r="L34">
        <v>3.5</v>
      </c>
      <c r="M34">
        <v>2</v>
      </c>
    </row>
    <row r="35" spans="1:13" x14ac:dyDescent="0.2">
      <c r="A35" t="s">
        <v>800</v>
      </c>
      <c r="B35">
        <v>9</v>
      </c>
      <c r="C35" t="s">
        <v>801</v>
      </c>
      <c r="D35">
        <v>1</v>
      </c>
      <c r="E35">
        <v>1</v>
      </c>
      <c r="F35">
        <v>0.5</v>
      </c>
      <c r="G35">
        <v>8</v>
      </c>
      <c r="H35" t="s">
        <v>382</v>
      </c>
      <c r="I35">
        <v>0</v>
      </c>
      <c r="J35">
        <v>4</v>
      </c>
      <c r="K35" t="s">
        <v>367</v>
      </c>
      <c r="L35">
        <v>6</v>
      </c>
      <c r="M35">
        <v>2</v>
      </c>
    </row>
    <row r="37" spans="1:13" x14ac:dyDescent="0.2">
      <c r="A37" t="s">
        <v>890</v>
      </c>
    </row>
    <row r="38" spans="1:13" x14ac:dyDescent="0.2">
      <c r="A38" t="s">
        <v>949</v>
      </c>
    </row>
    <row r="39" spans="1:13" x14ac:dyDescent="0.2">
      <c r="A39" t="s">
        <v>950</v>
      </c>
    </row>
    <row r="40" spans="1:13" x14ac:dyDescent="0.2">
      <c r="A40" t="s">
        <v>951</v>
      </c>
    </row>
    <row r="41" spans="1:13" x14ac:dyDescent="0.2">
      <c r="A41" t="s">
        <v>952</v>
      </c>
    </row>
    <row r="43" spans="1:13" x14ac:dyDescent="0.2">
      <c r="A43" t="s">
        <v>780</v>
      </c>
    </row>
    <row r="44" spans="1:13" x14ac:dyDescent="0.2">
      <c r="A44" t="s">
        <v>260</v>
      </c>
      <c r="B44" t="s">
        <v>782</v>
      </c>
      <c r="C44" t="s">
        <v>344</v>
      </c>
      <c r="D44" t="s">
        <v>519</v>
      </c>
      <c r="E44" t="s">
        <v>520</v>
      </c>
      <c r="F44" t="s">
        <v>127</v>
      </c>
      <c r="G44" t="s">
        <v>89</v>
      </c>
      <c r="H44" t="s">
        <v>783</v>
      </c>
      <c r="I44" t="s">
        <v>80</v>
      </c>
      <c r="J44" t="s">
        <v>522</v>
      </c>
      <c r="K44" t="s">
        <v>289</v>
      </c>
      <c r="L44" t="s">
        <v>347</v>
      </c>
      <c r="M44" t="s">
        <v>523</v>
      </c>
    </row>
    <row r="45" spans="1:13" x14ac:dyDescent="0.2">
      <c r="A45" t="s">
        <v>202</v>
      </c>
      <c r="B45">
        <v>2</v>
      </c>
      <c r="C45" t="s">
        <v>945</v>
      </c>
      <c r="D45">
        <v>1</v>
      </c>
      <c r="E45">
        <v>2</v>
      </c>
      <c r="F45">
        <v>0.25</v>
      </c>
      <c r="G45">
        <v>2</v>
      </c>
      <c r="H45" t="s">
        <v>382</v>
      </c>
      <c r="I45">
        <v>0</v>
      </c>
      <c r="J45">
        <v>4</v>
      </c>
      <c r="K45" t="s">
        <v>367</v>
      </c>
      <c r="L45">
        <v>3</v>
      </c>
      <c r="M45">
        <v>3</v>
      </c>
    </row>
    <row r="46" spans="1:13" x14ac:dyDescent="0.2">
      <c r="A46" t="s">
        <v>812</v>
      </c>
      <c r="B46">
        <v>0</v>
      </c>
      <c r="C46" t="s">
        <v>946</v>
      </c>
      <c r="D46">
        <v>1</v>
      </c>
      <c r="E46">
        <v>2</v>
      </c>
      <c r="F46">
        <v>0.25</v>
      </c>
      <c r="G46">
        <v>0</v>
      </c>
      <c r="H46" t="s">
        <v>382</v>
      </c>
      <c r="I46">
        <v>0</v>
      </c>
      <c r="J46">
        <v>4</v>
      </c>
      <c r="K46" t="s">
        <v>204</v>
      </c>
      <c r="L46">
        <v>1</v>
      </c>
      <c r="M46">
        <v>3</v>
      </c>
    </row>
    <row r="47" spans="1:13" x14ac:dyDescent="0.2">
      <c r="A47" t="s">
        <v>811</v>
      </c>
      <c r="B47">
        <v>2</v>
      </c>
      <c r="C47" t="s">
        <v>946</v>
      </c>
      <c r="D47">
        <v>1</v>
      </c>
      <c r="E47">
        <v>1</v>
      </c>
      <c r="F47">
        <v>1</v>
      </c>
      <c r="G47">
        <v>2</v>
      </c>
      <c r="H47" t="s">
        <v>382</v>
      </c>
      <c r="I47">
        <v>0</v>
      </c>
      <c r="J47">
        <v>2</v>
      </c>
      <c r="K47" t="s">
        <v>387</v>
      </c>
      <c r="L47">
        <v>0.5</v>
      </c>
      <c r="M47">
        <v>1</v>
      </c>
    </row>
    <row r="48" spans="1:13" x14ac:dyDescent="0.2">
      <c r="A48" t="s">
        <v>781</v>
      </c>
      <c r="B48">
        <v>2</v>
      </c>
      <c r="C48" t="s">
        <v>946</v>
      </c>
      <c r="D48">
        <v>1</v>
      </c>
      <c r="E48">
        <v>1</v>
      </c>
      <c r="F48" t="s">
        <v>473</v>
      </c>
      <c r="G48">
        <v>2</v>
      </c>
      <c r="H48" t="s">
        <v>380</v>
      </c>
      <c r="I48">
        <v>0</v>
      </c>
      <c r="J48">
        <v>4</v>
      </c>
      <c r="K48" t="s">
        <v>203</v>
      </c>
      <c r="L48">
        <v>2</v>
      </c>
      <c r="M48">
        <v>2</v>
      </c>
    </row>
    <row r="50" spans="1:13" x14ac:dyDescent="0.2">
      <c r="A50" t="s">
        <v>784</v>
      </c>
    </row>
    <row r="51" spans="1:13" x14ac:dyDescent="0.2">
      <c r="A51" t="s">
        <v>820</v>
      </c>
      <c r="B51">
        <v>7</v>
      </c>
      <c r="C51" t="s">
        <v>821</v>
      </c>
      <c r="D51">
        <v>1</v>
      </c>
      <c r="E51">
        <v>2</v>
      </c>
      <c r="F51">
        <v>0.5</v>
      </c>
      <c r="G51">
        <v>2</v>
      </c>
      <c r="H51" t="s">
        <v>382</v>
      </c>
      <c r="I51">
        <v>0</v>
      </c>
      <c r="J51">
        <v>5</v>
      </c>
      <c r="K51" t="s">
        <v>367</v>
      </c>
      <c r="L51">
        <v>1.3</v>
      </c>
      <c r="M51">
        <v>3</v>
      </c>
    </row>
    <row r="52" spans="1:13" x14ac:dyDescent="0.2">
      <c r="A52" t="s">
        <v>818</v>
      </c>
      <c r="B52">
        <v>4</v>
      </c>
      <c r="C52" t="s">
        <v>806</v>
      </c>
      <c r="D52">
        <v>1</v>
      </c>
      <c r="E52">
        <v>2</v>
      </c>
      <c r="F52" t="s">
        <v>473</v>
      </c>
      <c r="G52">
        <v>2</v>
      </c>
      <c r="H52" t="s">
        <v>380</v>
      </c>
      <c r="I52">
        <v>0</v>
      </c>
      <c r="J52">
        <v>6</v>
      </c>
      <c r="K52" t="s">
        <v>203</v>
      </c>
      <c r="L52">
        <v>2.5</v>
      </c>
      <c r="M52">
        <v>2</v>
      </c>
    </row>
    <row r="53" spans="1:13" x14ac:dyDescent="0.2">
      <c r="A53" t="s">
        <v>815</v>
      </c>
      <c r="B53">
        <v>8</v>
      </c>
      <c r="C53" t="s">
        <v>816</v>
      </c>
      <c r="D53">
        <v>1</v>
      </c>
      <c r="E53">
        <v>2</v>
      </c>
      <c r="F53">
        <v>0.25</v>
      </c>
      <c r="G53">
        <v>7</v>
      </c>
      <c r="H53" t="s">
        <v>817</v>
      </c>
      <c r="I53">
        <v>0</v>
      </c>
      <c r="J53">
        <v>6</v>
      </c>
      <c r="K53" t="s">
        <v>367</v>
      </c>
      <c r="L53">
        <v>4.3</v>
      </c>
      <c r="M53">
        <v>3</v>
      </c>
    </row>
    <row r="54" spans="1:13" x14ac:dyDescent="0.2">
      <c r="A54" t="s">
        <v>829</v>
      </c>
      <c r="B54">
        <v>3</v>
      </c>
      <c r="C54" t="s">
        <v>830</v>
      </c>
      <c r="D54">
        <v>1</v>
      </c>
      <c r="E54">
        <v>2</v>
      </c>
      <c r="F54">
        <v>0.25</v>
      </c>
      <c r="G54">
        <v>3</v>
      </c>
      <c r="H54" t="s">
        <v>817</v>
      </c>
      <c r="I54">
        <v>0</v>
      </c>
      <c r="J54">
        <v>6</v>
      </c>
      <c r="K54" t="s">
        <v>367</v>
      </c>
      <c r="L54">
        <v>1.3</v>
      </c>
      <c r="M54">
        <v>3</v>
      </c>
    </row>
    <row r="55" spans="1:13" x14ac:dyDescent="0.2">
      <c r="A55" t="s">
        <v>823</v>
      </c>
      <c r="B55">
        <v>4</v>
      </c>
      <c r="C55" t="s">
        <v>824</v>
      </c>
      <c r="D55">
        <v>1</v>
      </c>
      <c r="E55">
        <v>3</v>
      </c>
      <c r="F55">
        <v>0.25</v>
      </c>
      <c r="G55">
        <v>1</v>
      </c>
      <c r="H55" t="s">
        <v>804</v>
      </c>
      <c r="I55">
        <v>0</v>
      </c>
      <c r="J55">
        <v>8</v>
      </c>
      <c r="K55" t="s">
        <v>367</v>
      </c>
      <c r="L55">
        <v>1.8</v>
      </c>
      <c r="M55">
        <v>3</v>
      </c>
    </row>
    <row r="56" spans="1:13" x14ac:dyDescent="0.2">
      <c r="A56" t="s">
        <v>827</v>
      </c>
      <c r="B56">
        <v>12</v>
      </c>
      <c r="C56" t="s">
        <v>828</v>
      </c>
      <c r="D56">
        <v>1</v>
      </c>
      <c r="E56">
        <v>3</v>
      </c>
      <c r="F56">
        <v>0.25</v>
      </c>
      <c r="G56">
        <v>7</v>
      </c>
      <c r="H56" t="s">
        <v>817</v>
      </c>
      <c r="I56">
        <v>0</v>
      </c>
      <c r="J56">
        <v>9</v>
      </c>
      <c r="K56" t="s">
        <v>367</v>
      </c>
      <c r="L56">
        <v>4.5</v>
      </c>
      <c r="M56">
        <v>3</v>
      </c>
    </row>
    <row r="57" spans="1:13" x14ac:dyDescent="0.2">
      <c r="A57" t="s">
        <v>813</v>
      </c>
      <c r="B57">
        <v>7</v>
      </c>
      <c r="C57" t="s">
        <v>814</v>
      </c>
      <c r="D57">
        <v>1</v>
      </c>
      <c r="E57">
        <v>2</v>
      </c>
      <c r="F57">
        <v>0.25</v>
      </c>
      <c r="G57">
        <v>7</v>
      </c>
      <c r="H57" t="s">
        <v>382</v>
      </c>
      <c r="I57">
        <v>0</v>
      </c>
      <c r="J57">
        <v>7</v>
      </c>
      <c r="K57" t="s">
        <v>367</v>
      </c>
      <c r="L57">
        <v>4.5</v>
      </c>
      <c r="M57">
        <v>3</v>
      </c>
    </row>
    <row r="58" spans="1:13" x14ac:dyDescent="0.2">
      <c r="A58" t="s">
        <v>819</v>
      </c>
      <c r="B58">
        <v>8</v>
      </c>
      <c r="C58" t="s">
        <v>816</v>
      </c>
      <c r="D58">
        <v>1</v>
      </c>
      <c r="E58">
        <v>2</v>
      </c>
      <c r="F58">
        <v>0.25</v>
      </c>
      <c r="G58">
        <v>7</v>
      </c>
      <c r="H58" t="s">
        <v>382</v>
      </c>
      <c r="I58">
        <v>0</v>
      </c>
      <c r="J58">
        <v>6</v>
      </c>
      <c r="K58" t="s">
        <v>367</v>
      </c>
      <c r="L58">
        <v>4.5</v>
      </c>
      <c r="M58">
        <v>3</v>
      </c>
    </row>
    <row r="59" spans="1:13" x14ac:dyDescent="0.2">
      <c r="A59" t="s">
        <v>822</v>
      </c>
      <c r="B59">
        <v>2</v>
      </c>
      <c r="C59" t="s">
        <v>946</v>
      </c>
      <c r="D59">
        <v>1</v>
      </c>
      <c r="E59">
        <v>1</v>
      </c>
      <c r="F59">
        <v>1</v>
      </c>
      <c r="G59">
        <v>2</v>
      </c>
      <c r="H59" t="s">
        <v>382</v>
      </c>
      <c r="I59">
        <v>0</v>
      </c>
      <c r="J59">
        <v>2</v>
      </c>
      <c r="K59" t="s">
        <v>387</v>
      </c>
      <c r="L59">
        <v>0.5</v>
      </c>
      <c r="M59">
        <v>1</v>
      </c>
    </row>
    <row r="60" spans="1:13" x14ac:dyDescent="0.2">
      <c r="A60" t="s">
        <v>831</v>
      </c>
      <c r="B60">
        <v>10</v>
      </c>
      <c r="C60" t="s">
        <v>832</v>
      </c>
      <c r="D60">
        <v>1</v>
      </c>
      <c r="E60">
        <v>1</v>
      </c>
      <c r="F60" t="s">
        <v>473</v>
      </c>
      <c r="G60">
        <v>10</v>
      </c>
      <c r="H60" t="s">
        <v>380</v>
      </c>
      <c r="I60">
        <v>0</v>
      </c>
      <c r="J60">
        <v>8</v>
      </c>
      <c r="K60" t="s">
        <v>203</v>
      </c>
      <c r="L60">
        <v>6</v>
      </c>
      <c r="M60">
        <v>2</v>
      </c>
    </row>
    <row r="61" spans="1:13" x14ac:dyDescent="0.2">
      <c r="A61" t="s">
        <v>833</v>
      </c>
      <c r="B61">
        <v>4</v>
      </c>
      <c r="C61" t="s">
        <v>834</v>
      </c>
      <c r="D61">
        <v>1</v>
      </c>
      <c r="E61">
        <v>2</v>
      </c>
      <c r="F61">
        <v>0.25</v>
      </c>
      <c r="G61">
        <v>3</v>
      </c>
      <c r="H61" t="s">
        <v>804</v>
      </c>
      <c r="I61">
        <v>0</v>
      </c>
      <c r="J61">
        <v>4</v>
      </c>
      <c r="K61" t="s">
        <v>367</v>
      </c>
      <c r="L61">
        <v>3.5</v>
      </c>
      <c r="M61">
        <v>3</v>
      </c>
    </row>
    <row r="62" spans="1:13" x14ac:dyDescent="0.2">
      <c r="A62" t="s">
        <v>825</v>
      </c>
      <c r="B62">
        <v>7</v>
      </c>
      <c r="C62" t="s">
        <v>826</v>
      </c>
      <c r="D62">
        <v>2</v>
      </c>
      <c r="E62">
        <v>2</v>
      </c>
      <c r="F62">
        <v>0</v>
      </c>
      <c r="G62">
        <v>4</v>
      </c>
      <c r="H62" t="s">
        <v>382</v>
      </c>
      <c r="I62">
        <v>0</v>
      </c>
      <c r="J62">
        <v>4</v>
      </c>
      <c r="K62" t="s">
        <v>387</v>
      </c>
      <c r="L62">
        <v>1.5</v>
      </c>
      <c r="M62">
        <v>1</v>
      </c>
    </row>
    <row r="64" spans="1:13" x14ac:dyDescent="0.2">
      <c r="A64" t="s">
        <v>890</v>
      </c>
    </row>
    <row r="65" spans="1:13" x14ac:dyDescent="0.2">
      <c r="A65" t="s">
        <v>904</v>
      </c>
    </row>
    <row r="66" spans="1:13" x14ac:dyDescent="0.2">
      <c r="A66" t="s">
        <v>902</v>
      </c>
    </row>
    <row r="67" spans="1:13" x14ac:dyDescent="0.2">
      <c r="A67" t="s">
        <v>899</v>
      </c>
    </row>
    <row r="68" spans="1:13" x14ac:dyDescent="0.2">
      <c r="A68" t="s">
        <v>907</v>
      </c>
    </row>
    <row r="69" spans="1:13" x14ac:dyDescent="0.2">
      <c r="A69" t="s">
        <v>908</v>
      </c>
    </row>
    <row r="70" spans="1:13" x14ac:dyDescent="0.2">
      <c r="A70" t="s">
        <v>906</v>
      </c>
    </row>
    <row r="71" spans="1:13" x14ac:dyDescent="0.2">
      <c r="A71" t="s">
        <v>898</v>
      </c>
    </row>
    <row r="72" spans="1:13" x14ac:dyDescent="0.2">
      <c r="A72" t="s">
        <v>903</v>
      </c>
    </row>
    <row r="73" spans="1:13" x14ac:dyDescent="0.2">
      <c r="A73" t="s">
        <v>953</v>
      </c>
    </row>
    <row r="74" spans="1:13" x14ac:dyDescent="0.2">
      <c r="A74" t="s">
        <v>901</v>
      </c>
    </row>
    <row r="75" spans="1:13" x14ac:dyDescent="0.2">
      <c r="A75" t="s">
        <v>900</v>
      </c>
    </row>
    <row r="76" spans="1:13" x14ac:dyDescent="0.2">
      <c r="A76" t="s">
        <v>905</v>
      </c>
    </row>
    <row r="79" spans="1:13" x14ac:dyDescent="0.2">
      <c r="A79" t="s">
        <v>779</v>
      </c>
    </row>
    <row r="80" spans="1:13" x14ac:dyDescent="0.2">
      <c r="A80" t="s">
        <v>260</v>
      </c>
      <c r="B80" t="s">
        <v>782</v>
      </c>
      <c r="C80" t="s">
        <v>344</v>
      </c>
      <c r="D80" t="s">
        <v>519</v>
      </c>
      <c r="E80" t="s">
        <v>520</v>
      </c>
      <c r="F80" t="s">
        <v>127</v>
      </c>
      <c r="G80" t="s">
        <v>89</v>
      </c>
      <c r="H80" t="s">
        <v>783</v>
      </c>
      <c r="I80" t="s">
        <v>80</v>
      </c>
      <c r="J80" t="s">
        <v>522</v>
      </c>
      <c r="K80" t="s">
        <v>289</v>
      </c>
      <c r="L80" t="s">
        <v>347</v>
      </c>
      <c r="M80" t="s">
        <v>523</v>
      </c>
    </row>
    <row r="81" spans="1:25" x14ac:dyDescent="0.2">
      <c r="A81" t="s">
        <v>837</v>
      </c>
      <c r="B81">
        <v>3</v>
      </c>
      <c r="C81" t="s">
        <v>947</v>
      </c>
      <c r="D81">
        <v>1</v>
      </c>
      <c r="E81">
        <v>0</v>
      </c>
      <c r="F81">
        <v>0</v>
      </c>
      <c r="G81">
        <v>1</v>
      </c>
      <c r="H81" t="s">
        <v>382</v>
      </c>
      <c r="I81">
        <v>0</v>
      </c>
      <c r="J81">
        <v>1</v>
      </c>
      <c r="K81" t="s">
        <v>203</v>
      </c>
      <c r="L81">
        <v>1</v>
      </c>
      <c r="M81">
        <v>1</v>
      </c>
    </row>
    <row r="82" spans="1:25" x14ac:dyDescent="0.2">
      <c r="A82" t="s">
        <v>835</v>
      </c>
      <c r="B82">
        <v>2</v>
      </c>
      <c r="C82" t="s">
        <v>947</v>
      </c>
      <c r="D82">
        <v>1</v>
      </c>
      <c r="E82">
        <v>0</v>
      </c>
      <c r="F82">
        <v>0</v>
      </c>
      <c r="G82">
        <v>1</v>
      </c>
      <c r="H82" t="s">
        <v>382</v>
      </c>
      <c r="I82">
        <v>0</v>
      </c>
      <c r="J82">
        <v>0</v>
      </c>
      <c r="K82" t="s">
        <v>367</v>
      </c>
      <c r="L82">
        <v>0.1</v>
      </c>
      <c r="M82">
        <v>1</v>
      </c>
    </row>
    <row r="83" spans="1:25" x14ac:dyDescent="0.2">
      <c r="A83" t="s">
        <v>836</v>
      </c>
      <c r="B83">
        <v>5</v>
      </c>
      <c r="C83" t="s">
        <v>954</v>
      </c>
      <c r="D83">
        <v>1</v>
      </c>
      <c r="E83">
        <v>0</v>
      </c>
      <c r="F83">
        <v>0</v>
      </c>
      <c r="G83">
        <v>2</v>
      </c>
      <c r="H83" t="s">
        <v>382</v>
      </c>
      <c r="I83">
        <v>0</v>
      </c>
      <c r="J83">
        <v>2</v>
      </c>
      <c r="K83" t="s">
        <v>367</v>
      </c>
      <c r="L83">
        <v>2</v>
      </c>
      <c r="M83">
        <v>1</v>
      </c>
    </row>
    <row r="84" spans="1:25" x14ac:dyDescent="0.2">
      <c r="A84" t="s">
        <v>838</v>
      </c>
      <c r="B84">
        <v>1</v>
      </c>
      <c r="C84" t="s">
        <v>955</v>
      </c>
      <c r="D84">
        <v>1</v>
      </c>
      <c r="E84">
        <v>0</v>
      </c>
      <c r="F84">
        <v>0</v>
      </c>
      <c r="G84">
        <v>0</v>
      </c>
      <c r="H84" t="s">
        <v>382</v>
      </c>
      <c r="I84">
        <v>0</v>
      </c>
      <c r="J84">
        <v>0</v>
      </c>
      <c r="K84" t="s">
        <v>203</v>
      </c>
      <c r="L84">
        <v>0.1</v>
      </c>
      <c r="M84">
        <v>1</v>
      </c>
    </row>
    <row r="85" spans="1:25" x14ac:dyDescent="0.2">
      <c r="P85" t="s">
        <v>1167</v>
      </c>
    </row>
    <row r="86" spans="1:25" x14ac:dyDescent="0.2">
      <c r="A86" t="s">
        <v>784</v>
      </c>
    </row>
    <row r="87" spans="1:25" x14ac:dyDescent="0.2">
      <c r="A87" t="s">
        <v>841</v>
      </c>
      <c r="B87">
        <v>1</v>
      </c>
      <c r="C87" t="s">
        <v>842</v>
      </c>
      <c r="D87">
        <v>1</v>
      </c>
      <c r="E87">
        <v>0</v>
      </c>
      <c r="F87">
        <v>0</v>
      </c>
      <c r="G87">
        <v>1</v>
      </c>
      <c r="H87" t="s">
        <v>382</v>
      </c>
      <c r="I87">
        <v>0</v>
      </c>
      <c r="J87">
        <v>0</v>
      </c>
      <c r="K87" t="s">
        <v>203</v>
      </c>
      <c r="L87">
        <v>0.2</v>
      </c>
      <c r="M87">
        <v>1</v>
      </c>
      <c r="R87" t="s">
        <v>1165</v>
      </c>
    </row>
    <row r="88" spans="1:25" x14ac:dyDescent="0.2">
      <c r="A88" t="s">
        <v>539</v>
      </c>
      <c r="B88">
        <v>5</v>
      </c>
      <c r="C88" t="s">
        <v>847</v>
      </c>
      <c r="D88">
        <v>1</v>
      </c>
      <c r="E88">
        <v>0</v>
      </c>
      <c r="F88">
        <v>0</v>
      </c>
      <c r="G88">
        <v>2</v>
      </c>
      <c r="H88" t="s">
        <v>804</v>
      </c>
      <c r="I88">
        <v>0</v>
      </c>
      <c r="J88">
        <v>1</v>
      </c>
      <c r="K88" t="s">
        <v>367</v>
      </c>
      <c r="L88">
        <v>1.5</v>
      </c>
      <c r="M88">
        <v>1</v>
      </c>
      <c r="R88" t="s">
        <v>1164</v>
      </c>
      <c r="U88" t="s">
        <v>91</v>
      </c>
      <c r="V88" t="s">
        <v>347</v>
      </c>
      <c r="W88" t="s">
        <v>522</v>
      </c>
      <c r="X88" t="s">
        <v>520</v>
      </c>
      <c r="Y88" t="s">
        <v>782</v>
      </c>
    </row>
    <row r="89" spans="1:25" x14ac:dyDescent="0.2">
      <c r="A89" t="s">
        <v>843</v>
      </c>
      <c r="B89">
        <v>7</v>
      </c>
      <c r="C89" t="s">
        <v>844</v>
      </c>
      <c r="D89">
        <v>1</v>
      </c>
      <c r="E89">
        <v>0</v>
      </c>
      <c r="F89">
        <v>0</v>
      </c>
      <c r="G89">
        <v>2</v>
      </c>
      <c r="H89" t="s">
        <v>382</v>
      </c>
      <c r="I89">
        <v>0</v>
      </c>
      <c r="J89">
        <v>2</v>
      </c>
      <c r="K89" t="s">
        <v>367</v>
      </c>
      <c r="L89">
        <v>2.1</v>
      </c>
      <c r="M89">
        <v>1</v>
      </c>
      <c r="R89" t="s">
        <v>1144</v>
      </c>
      <c r="U89">
        <v>2</v>
      </c>
      <c r="V89">
        <v>0.5</v>
      </c>
      <c r="W89">
        <v>0</v>
      </c>
      <c r="X89">
        <v>1</v>
      </c>
      <c r="Y89">
        <v>1</v>
      </c>
    </row>
    <row r="90" spans="1:25" x14ac:dyDescent="0.2">
      <c r="A90" t="s">
        <v>839</v>
      </c>
      <c r="B90">
        <v>9</v>
      </c>
      <c r="C90" t="s">
        <v>840</v>
      </c>
      <c r="D90">
        <v>1</v>
      </c>
      <c r="E90">
        <v>0</v>
      </c>
      <c r="F90">
        <v>0</v>
      </c>
      <c r="G90">
        <v>5</v>
      </c>
      <c r="H90" t="s">
        <v>804</v>
      </c>
      <c r="I90">
        <v>0</v>
      </c>
      <c r="J90">
        <v>2</v>
      </c>
      <c r="K90" t="s">
        <v>367</v>
      </c>
      <c r="L90">
        <v>2.5</v>
      </c>
      <c r="M90">
        <v>1</v>
      </c>
      <c r="R90" t="s">
        <v>155</v>
      </c>
      <c r="U90">
        <v>3</v>
      </c>
      <c r="V90">
        <v>1</v>
      </c>
      <c r="W90">
        <v>3</v>
      </c>
      <c r="X90">
        <v>1</v>
      </c>
      <c r="Y90">
        <v>2</v>
      </c>
    </row>
    <row r="91" spans="1:25" x14ac:dyDescent="0.2">
      <c r="A91" t="s">
        <v>848</v>
      </c>
      <c r="B91">
        <v>5</v>
      </c>
      <c r="C91" t="s">
        <v>810</v>
      </c>
      <c r="D91">
        <v>1</v>
      </c>
      <c r="E91">
        <v>0</v>
      </c>
      <c r="F91">
        <v>0</v>
      </c>
      <c r="G91">
        <v>4</v>
      </c>
      <c r="H91" t="s">
        <v>817</v>
      </c>
      <c r="I91">
        <v>0</v>
      </c>
      <c r="J91">
        <v>2</v>
      </c>
      <c r="K91" t="s">
        <v>367</v>
      </c>
      <c r="L91">
        <v>0.3</v>
      </c>
      <c r="M91">
        <v>1</v>
      </c>
      <c r="R91" t="s">
        <v>518</v>
      </c>
      <c r="U91">
        <v>4</v>
      </c>
      <c r="V91">
        <v>2</v>
      </c>
      <c r="W91">
        <v>3</v>
      </c>
      <c r="X91">
        <v>1</v>
      </c>
      <c r="Y91">
        <v>0</v>
      </c>
    </row>
    <row r="92" spans="1:25" x14ac:dyDescent="0.2">
      <c r="A92" t="s">
        <v>845</v>
      </c>
      <c r="B92">
        <v>10</v>
      </c>
      <c r="C92" t="s">
        <v>846</v>
      </c>
      <c r="D92">
        <v>1</v>
      </c>
      <c r="E92">
        <v>0</v>
      </c>
      <c r="F92">
        <v>0</v>
      </c>
      <c r="G92">
        <v>5</v>
      </c>
      <c r="H92" t="s">
        <v>804</v>
      </c>
      <c r="I92">
        <v>0</v>
      </c>
      <c r="J92">
        <v>2</v>
      </c>
      <c r="K92" t="s">
        <v>367</v>
      </c>
      <c r="L92">
        <v>3.5</v>
      </c>
      <c r="M92">
        <v>1</v>
      </c>
      <c r="R92" t="s">
        <v>781</v>
      </c>
      <c r="U92">
        <v>3</v>
      </c>
      <c r="V92">
        <v>0.5</v>
      </c>
      <c r="W92">
        <v>2</v>
      </c>
      <c r="X92">
        <v>2</v>
      </c>
      <c r="Y92">
        <v>2</v>
      </c>
    </row>
    <row r="93" spans="1:25" x14ac:dyDescent="0.2">
      <c r="R93" t="s">
        <v>156</v>
      </c>
      <c r="U93">
        <v>5</v>
      </c>
      <c r="V93">
        <v>1.5</v>
      </c>
      <c r="W93">
        <v>3</v>
      </c>
      <c r="X93">
        <v>1</v>
      </c>
      <c r="Y93">
        <v>2</v>
      </c>
    </row>
    <row r="94" spans="1:25" x14ac:dyDescent="0.2">
      <c r="A94" t="s">
        <v>890</v>
      </c>
      <c r="R94" t="s">
        <v>201</v>
      </c>
      <c r="U94">
        <v>5</v>
      </c>
      <c r="V94">
        <v>1</v>
      </c>
      <c r="W94">
        <v>0</v>
      </c>
      <c r="X94">
        <v>0</v>
      </c>
      <c r="Y94">
        <v>0</v>
      </c>
    </row>
    <row r="95" spans="1:25" x14ac:dyDescent="0.2">
      <c r="A95" t="s">
        <v>913</v>
      </c>
    </row>
    <row r="96" spans="1:25" x14ac:dyDescent="0.2">
      <c r="A96" t="s">
        <v>909</v>
      </c>
    </row>
    <row r="97" spans="1:25" x14ac:dyDescent="0.2">
      <c r="A97" t="s">
        <v>910</v>
      </c>
    </row>
    <row r="98" spans="1:25" x14ac:dyDescent="0.2">
      <c r="A98" t="s">
        <v>914</v>
      </c>
    </row>
    <row r="99" spans="1:25" x14ac:dyDescent="0.2">
      <c r="A99" t="s">
        <v>911</v>
      </c>
      <c r="T99" t="s">
        <v>530</v>
      </c>
      <c r="U99">
        <f>1</f>
        <v>1</v>
      </c>
      <c r="V99">
        <v>0.5</v>
      </c>
    </row>
    <row r="100" spans="1:25" x14ac:dyDescent="0.2">
      <c r="A100" t="s">
        <v>912</v>
      </c>
      <c r="R100" s="99"/>
    </row>
    <row r="102" spans="1:25" x14ac:dyDescent="0.2">
      <c r="R102" s="99"/>
    </row>
    <row r="103" spans="1:25" x14ac:dyDescent="0.2">
      <c r="A103" t="s">
        <v>544</v>
      </c>
      <c r="R103" s="99" t="s">
        <v>201</v>
      </c>
      <c r="T103" t="s">
        <v>1168</v>
      </c>
    </row>
    <row r="104" spans="1:25" x14ac:dyDescent="0.2">
      <c r="A104" t="s">
        <v>260</v>
      </c>
      <c r="B104" t="s">
        <v>782</v>
      </c>
      <c r="C104" t="s">
        <v>344</v>
      </c>
      <c r="D104" t="s">
        <v>519</v>
      </c>
      <c r="E104" t="s">
        <v>520</v>
      </c>
      <c r="F104" t="s">
        <v>127</v>
      </c>
      <c r="G104" t="s">
        <v>89</v>
      </c>
      <c r="H104" t="s">
        <v>783</v>
      </c>
      <c r="I104" t="s">
        <v>80</v>
      </c>
      <c r="J104" t="s">
        <v>522</v>
      </c>
      <c r="K104" t="s">
        <v>289</v>
      </c>
      <c r="L104" t="s">
        <v>347</v>
      </c>
      <c r="M104" t="s">
        <v>523</v>
      </c>
      <c r="R104" s="109" t="s">
        <v>1169</v>
      </c>
      <c r="S104" s="109"/>
      <c r="T104" s="109"/>
      <c r="U104" s="109">
        <v>2</v>
      </c>
      <c r="V104" s="109">
        <v>3</v>
      </c>
      <c r="W104" s="109">
        <v>1</v>
      </c>
      <c r="X104" s="109">
        <v>0</v>
      </c>
      <c r="Y104" s="109">
        <v>1</v>
      </c>
    </row>
    <row r="105" spans="1:25" x14ac:dyDescent="0.2">
      <c r="A105" t="s">
        <v>536</v>
      </c>
      <c r="B105">
        <v>1</v>
      </c>
      <c r="C105">
        <v>100</v>
      </c>
      <c r="D105">
        <v>1</v>
      </c>
      <c r="E105">
        <v>0</v>
      </c>
      <c r="F105">
        <v>1</v>
      </c>
      <c r="G105">
        <v>3</v>
      </c>
      <c r="H105" t="s">
        <v>381</v>
      </c>
      <c r="I105">
        <v>0</v>
      </c>
      <c r="J105">
        <v>0</v>
      </c>
      <c r="K105" t="s">
        <v>367</v>
      </c>
      <c r="L105">
        <v>0.5</v>
      </c>
      <c r="M105">
        <v>1</v>
      </c>
      <c r="R105" t="s">
        <v>201</v>
      </c>
      <c r="U105">
        <v>5</v>
      </c>
      <c r="V105">
        <v>1</v>
      </c>
      <c r="W105">
        <v>0</v>
      </c>
      <c r="X105">
        <v>0</v>
      </c>
      <c r="Y105">
        <v>0</v>
      </c>
    </row>
    <row r="106" spans="1:25" x14ac:dyDescent="0.2">
      <c r="A106" t="s">
        <v>544</v>
      </c>
      <c r="B106">
        <v>2</v>
      </c>
      <c r="C106">
        <v>200</v>
      </c>
      <c r="D106">
        <v>1</v>
      </c>
      <c r="E106">
        <v>0</v>
      </c>
      <c r="F106">
        <v>1</v>
      </c>
      <c r="G106">
        <v>4</v>
      </c>
      <c r="H106" t="s">
        <v>380</v>
      </c>
      <c r="I106">
        <v>0</v>
      </c>
      <c r="J106">
        <v>1</v>
      </c>
      <c r="K106" t="s">
        <v>367</v>
      </c>
      <c r="L106">
        <v>0.5</v>
      </c>
      <c r="M106">
        <v>1</v>
      </c>
      <c r="R106" s="2" t="s">
        <v>1170</v>
      </c>
      <c r="S106" s="2"/>
      <c r="T106" s="2"/>
      <c r="U106" s="2">
        <v>7</v>
      </c>
      <c r="V106" s="2">
        <v>4</v>
      </c>
      <c r="W106" s="2">
        <v>1</v>
      </c>
      <c r="X106" s="2">
        <v>0</v>
      </c>
      <c r="Y106" s="2">
        <v>1</v>
      </c>
    </row>
    <row r="107" spans="1:25" x14ac:dyDescent="0.2">
      <c r="A107" t="s">
        <v>849</v>
      </c>
      <c r="B107">
        <v>2</v>
      </c>
      <c r="C107">
        <v>200</v>
      </c>
      <c r="D107">
        <v>1</v>
      </c>
      <c r="E107">
        <v>0</v>
      </c>
      <c r="F107" t="s">
        <v>473</v>
      </c>
      <c r="G107">
        <v>5</v>
      </c>
      <c r="H107" t="s">
        <v>380</v>
      </c>
      <c r="I107">
        <v>0</v>
      </c>
      <c r="J107">
        <v>2</v>
      </c>
      <c r="K107" t="s">
        <v>367</v>
      </c>
      <c r="L107">
        <v>1</v>
      </c>
      <c r="M107">
        <v>2</v>
      </c>
      <c r="R107" s="2" t="s">
        <v>1171</v>
      </c>
      <c r="S107" s="2"/>
      <c r="T107" s="2"/>
      <c r="U107" s="2">
        <v>9</v>
      </c>
      <c r="V107" s="2">
        <v>7</v>
      </c>
      <c r="W107" s="2">
        <v>2</v>
      </c>
      <c r="X107" s="2">
        <v>0</v>
      </c>
      <c r="Y107" s="2">
        <v>2</v>
      </c>
    </row>
    <row r="108" spans="1:25" x14ac:dyDescent="0.2">
      <c r="R108" s="2" t="s">
        <v>647</v>
      </c>
      <c r="S108" s="2"/>
      <c r="T108" s="2"/>
      <c r="U108" s="2">
        <v>11</v>
      </c>
      <c r="V108" s="2">
        <v>10</v>
      </c>
      <c r="W108" s="2">
        <v>3</v>
      </c>
      <c r="X108" s="2">
        <v>0</v>
      </c>
      <c r="Y108" s="2">
        <v>3</v>
      </c>
    </row>
    <row r="109" spans="1:25" x14ac:dyDescent="0.2">
      <c r="A109" t="s">
        <v>784</v>
      </c>
    </row>
    <row r="110" spans="1:25" x14ac:dyDescent="0.2">
      <c r="A110" t="s">
        <v>854</v>
      </c>
      <c r="B110">
        <v>8</v>
      </c>
      <c r="C110" t="s">
        <v>855</v>
      </c>
      <c r="D110">
        <v>1</v>
      </c>
      <c r="E110">
        <v>0.5</v>
      </c>
      <c r="F110">
        <v>1</v>
      </c>
      <c r="G110">
        <v>7</v>
      </c>
      <c r="H110" t="s">
        <v>381</v>
      </c>
      <c r="I110">
        <v>0</v>
      </c>
      <c r="J110">
        <v>1</v>
      </c>
      <c r="K110" t="s">
        <v>367</v>
      </c>
      <c r="L110">
        <v>2.6</v>
      </c>
      <c r="M110">
        <v>1</v>
      </c>
    </row>
    <row r="111" spans="1:25" x14ac:dyDescent="0.2">
      <c r="A111" t="s">
        <v>850</v>
      </c>
      <c r="B111">
        <v>10</v>
      </c>
      <c r="C111" t="s">
        <v>851</v>
      </c>
      <c r="D111">
        <v>1</v>
      </c>
      <c r="E111">
        <v>0</v>
      </c>
      <c r="F111">
        <v>2</v>
      </c>
      <c r="G111">
        <v>3</v>
      </c>
      <c r="H111" t="s">
        <v>381</v>
      </c>
      <c r="I111">
        <v>0</v>
      </c>
      <c r="J111">
        <v>-2</v>
      </c>
      <c r="K111" t="s">
        <v>367</v>
      </c>
      <c r="L111">
        <v>0.1</v>
      </c>
      <c r="M111">
        <v>1</v>
      </c>
    </row>
    <row r="112" spans="1:25" x14ac:dyDescent="0.2">
      <c r="A112" t="s">
        <v>852</v>
      </c>
      <c r="B112">
        <v>8</v>
      </c>
      <c r="C112" t="s">
        <v>853</v>
      </c>
      <c r="D112">
        <v>1</v>
      </c>
      <c r="E112">
        <v>0.5</v>
      </c>
      <c r="F112">
        <v>1</v>
      </c>
      <c r="G112">
        <v>8</v>
      </c>
      <c r="H112" t="s">
        <v>380</v>
      </c>
      <c r="I112">
        <v>0</v>
      </c>
      <c r="J112">
        <v>2</v>
      </c>
      <c r="K112" t="s">
        <v>367</v>
      </c>
      <c r="L112">
        <v>2.5</v>
      </c>
      <c r="M112">
        <v>1</v>
      </c>
      <c r="R112" t="s">
        <v>1148</v>
      </c>
      <c r="U112" t="s">
        <v>91</v>
      </c>
      <c r="V112" t="s">
        <v>347</v>
      </c>
      <c r="W112" t="s">
        <v>522</v>
      </c>
      <c r="X112" t="s">
        <v>520</v>
      </c>
      <c r="Y112" t="s">
        <v>782</v>
      </c>
    </row>
    <row r="113" spans="1:25" x14ac:dyDescent="0.2">
      <c r="A113" t="s">
        <v>545</v>
      </c>
      <c r="B113">
        <v>5</v>
      </c>
      <c r="C113" t="s">
        <v>857</v>
      </c>
      <c r="D113">
        <v>1</v>
      </c>
      <c r="E113">
        <v>0</v>
      </c>
      <c r="F113">
        <v>1</v>
      </c>
      <c r="G113">
        <v>4</v>
      </c>
      <c r="H113" t="s">
        <v>381</v>
      </c>
      <c r="I113">
        <v>0</v>
      </c>
      <c r="J113">
        <v>-1</v>
      </c>
      <c r="K113" t="s">
        <v>367</v>
      </c>
      <c r="L113">
        <v>0.4</v>
      </c>
      <c r="M113">
        <v>1</v>
      </c>
      <c r="R113" s="109" t="s">
        <v>1006</v>
      </c>
      <c r="S113" s="109"/>
      <c r="T113" s="109" t="s">
        <v>1151</v>
      </c>
      <c r="U113" s="109">
        <v>2</v>
      </c>
      <c r="V113" s="109">
        <v>1</v>
      </c>
      <c r="W113" s="109">
        <v>1</v>
      </c>
      <c r="X113" s="109">
        <v>0.5</v>
      </c>
      <c r="Y113" s="109">
        <v>1</v>
      </c>
    </row>
    <row r="114" spans="1:25" x14ac:dyDescent="0.2">
      <c r="A114" t="s">
        <v>859</v>
      </c>
      <c r="B114">
        <v>8</v>
      </c>
      <c r="C114" t="s">
        <v>860</v>
      </c>
      <c r="D114">
        <v>1</v>
      </c>
      <c r="E114">
        <v>0</v>
      </c>
      <c r="F114">
        <v>2</v>
      </c>
      <c r="G114">
        <v>3</v>
      </c>
      <c r="H114" t="s">
        <v>380</v>
      </c>
      <c r="I114">
        <v>0</v>
      </c>
      <c r="J114">
        <v>0</v>
      </c>
      <c r="K114" t="s">
        <v>367</v>
      </c>
      <c r="L114">
        <v>0.1</v>
      </c>
      <c r="M114">
        <v>1</v>
      </c>
      <c r="P114" t="s">
        <v>275</v>
      </c>
      <c r="R114" t="s">
        <v>536</v>
      </c>
      <c r="U114">
        <v>2</v>
      </c>
      <c r="V114">
        <v>0.5</v>
      </c>
      <c r="W114">
        <v>0</v>
      </c>
      <c r="X114">
        <v>1</v>
      </c>
      <c r="Y114">
        <v>1</v>
      </c>
    </row>
    <row r="115" spans="1:25" x14ac:dyDescent="0.2">
      <c r="A115" t="s">
        <v>864</v>
      </c>
      <c r="B115">
        <v>7</v>
      </c>
      <c r="C115" t="s">
        <v>846</v>
      </c>
      <c r="D115">
        <v>1</v>
      </c>
      <c r="E115">
        <v>0</v>
      </c>
      <c r="F115">
        <v>1</v>
      </c>
      <c r="G115">
        <v>6</v>
      </c>
      <c r="H115" t="s">
        <v>380</v>
      </c>
      <c r="I115">
        <v>0</v>
      </c>
      <c r="J115">
        <v>1</v>
      </c>
      <c r="K115" t="s">
        <v>367</v>
      </c>
      <c r="L115">
        <v>1.3</v>
      </c>
      <c r="M115">
        <v>1</v>
      </c>
      <c r="R115" s="2" t="s">
        <v>1145</v>
      </c>
      <c r="S115" s="2"/>
      <c r="T115" s="2"/>
      <c r="U115" s="2">
        <f>U114+U$113</f>
        <v>4</v>
      </c>
      <c r="V115" s="2">
        <f>V114+V$113</f>
        <v>1.5</v>
      </c>
      <c r="W115" s="2">
        <f t="shared" ref="W115:Y115" si="0">W114+W$113</f>
        <v>1</v>
      </c>
      <c r="X115" s="2">
        <f t="shared" si="0"/>
        <v>1.5</v>
      </c>
      <c r="Y115" s="2">
        <f t="shared" si="0"/>
        <v>2</v>
      </c>
    </row>
    <row r="116" spans="1:25" x14ac:dyDescent="0.2">
      <c r="A116" t="s">
        <v>858</v>
      </c>
      <c r="B116">
        <v>5</v>
      </c>
      <c r="C116" t="s">
        <v>792</v>
      </c>
      <c r="D116">
        <v>1</v>
      </c>
      <c r="E116">
        <v>0</v>
      </c>
      <c r="F116">
        <v>2</v>
      </c>
      <c r="G116">
        <v>2</v>
      </c>
      <c r="H116" t="s">
        <v>381</v>
      </c>
      <c r="I116">
        <v>0</v>
      </c>
      <c r="J116">
        <v>-1</v>
      </c>
      <c r="K116" t="s">
        <v>367</v>
      </c>
      <c r="L116">
        <v>0.3</v>
      </c>
      <c r="M116">
        <v>1</v>
      </c>
      <c r="R116" s="2" t="s">
        <v>596</v>
      </c>
      <c r="S116" s="2"/>
      <c r="T116" s="2"/>
      <c r="U116" s="2">
        <f t="shared" ref="U116:U117" si="1">U115+U$113</f>
        <v>6</v>
      </c>
      <c r="V116" s="2">
        <f t="shared" ref="V116:V117" si="2">V115+V$113</f>
        <v>2.5</v>
      </c>
      <c r="W116" s="2">
        <f t="shared" ref="W116:W117" si="3">W115+W$113</f>
        <v>2</v>
      </c>
      <c r="X116" s="2">
        <f t="shared" ref="X116:X117" si="4">X115+X$113</f>
        <v>2</v>
      </c>
      <c r="Y116" s="2">
        <f t="shared" ref="Y116:Y117" si="5">Y115+Y$113</f>
        <v>3</v>
      </c>
    </row>
    <row r="117" spans="1:25" x14ac:dyDescent="0.2">
      <c r="A117" t="s">
        <v>862</v>
      </c>
      <c r="B117">
        <v>10</v>
      </c>
      <c r="C117" t="s">
        <v>863</v>
      </c>
      <c r="D117">
        <v>1</v>
      </c>
      <c r="E117">
        <v>0.5</v>
      </c>
      <c r="F117">
        <v>1</v>
      </c>
      <c r="G117">
        <v>8</v>
      </c>
      <c r="H117" t="s">
        <v>380</v>
      </c>
      <c r="I117">
        <v>0</v>
      </c>
      <c r="J117">
        <v>2</v>
      </c>
      <c r="K117" t="s">
        <v>367</v>
      </c>
      <c r="L117">
        <v>2.29</v>
      </c>
      <c r="M117">
        <v>1</v>
      </c>
      <c r="R117" s="2" t="s">
        <v>1146</v>
      </c>
      <c r="S117" s="2"/>
      <c r="T117" s="2"/>
      <c r="U117" s="2">
        <f t="shared" si="1"/>
        <v>8</v>
      </c>
      <c r="V117" s="2">
        <f t="shared" si="2"/>
        <v>3.5</v>
      </c>
      <c r="W117" s="2">
        <f t="shared" si="3"/>
        <v>3</v>
      </c>
      <c r="X117" s="2">
        <f t="shared" si="4"/>
        <v>2.5</v>
      </c>
      <c r="Y117" s="2">
        <f t="shared" si="5"/>
        <v>4</v>
      </c>
    </row>
    <row r="119" spans="1:25" x14ac:dyDescent="0.2">
      <c r="A119" t="s">
        <v>890</v>
      </c>
    </row>
    <row r="120" spans="1:25" x14ac:dyDescent="0.2">
      <c r="A120" t="s">
        <v>921</v>
      </c>
    </row>
    <row r="121" spans="1:25" x14ac:dyDescent="0.2">
      <c r="A121" t="s">
        <v>920</v>
      </c>
      <c r="R121" s="109" t="s">
        <v>1163</v>
      </c>
      <c r="S121" s="109"/>
      <c r="T121" s="109" t="s">
        <v>1152</v>
      </c>
      <c r="U121" s="109">
        <v>4</v>
      </c>
      <c r="V121" s="109">
        <v>2</v>
      </c>
      <c r="W121" s="109">
        <v>0</v>
      </c>
      <c r="X121" s="109">
        <v>0</v>
      </c>
      <c r="Y121" s="109">
        <v>1</v>
      </c>
    </row>
    <row r="122" spans="1:25" x14ac:dyDescent="0.2">
      <c r="A122" t="s">
        <v>918</v>
      </c>
      <c r="R122" t="s">
        <v>518</v>
      </c>
    </row>
    <row r="123" spans="1:25" x14ac:dyDescent="0.2">
      <c r="A123" t="s">
        <v>915</v>
      </c>
      <c r="P123" t="s">
        <v>275</v>
      </c>
      <c r="R123" s="110" t="s">
        <v>552</v>
      </c>
      <c r="S123" s="110"/>
      <c r="T123" s="110"/>
      <c r="U123" s="110">
        <v>4</v>
      </c>
      <c r="V123" s="110">
        <v>2</v>
      </c>
      <c r="W123" s="110">
        <v>3</v>
      </c>
      <c r="X123" s="110">
        <v>1</v>
      </c>
      <c r="Y123" s="110">
        <v>1</v>
      </c>
    </row>
    <row r="124" spans="1:25" x14ac:dyDescent="0.2">
      <c r="A124" t="s">
        <v>916</v>
      </c>
      <c r="R124" s="2" t="s">
        <v>1147</v>
      </c>
      <c r="S124" s="2"/>
      <c r="T124" s="2"/>
      <c r="U124" s="2">
        <v>8</v>
      </c>
      <c r="V124" s="2">
        <f>V123+$V$121</f>
        <v>4</v>
      </c>
      <c r="W124" s="2">
        <v>3</v>
      </c>
      <c r="X124" s="2">
        <v>1</v>
      </c>
      <c r="Y124" s="2">
        <v>2</v>
      </c>
    </row>
    <row r="125" spans="1:25" x14ac:dyDescent="0.2">
      <c r="A125" t="s">
        <v>917</v>
      </c>
      <c r="R125" s="2" t="s">
        <v>553</v>
      </c>
      <c r="S125" s="2"/>
      <c r="T125" s="2"/>
      <c r="U125" s="2">
        <v>12</v>
      </c>
      <c r="V125" s="2">
        <f t="shared" ref="V125:V126" si="6">V124+$V$121</f>
        <v>6</v>
      </c>
      <c r="W125" s="2">
        <v>3</v>
      </c>
      <c r="X125" s="2">
        <v>1</v>
      </c>
      <c r="Y125" s="2">
        <v>3</v>
      </c>
    </row>
    <row r="126" spans="1:25" x14ac:dyDescent="0.2">
      <c r="A126" t="s">
        <v>919</v>
      </c>
      <c r="R126" s="2" t="s">
        <v>157</v>
      </c>
      <c r="S126" s="2"/>
      <c r="T126" s="2"/>
      <c r="U126" s="2">
        <v>16</v>
      </c>
      <c r="V126" s="2">
        <f t="shared" si="6"/>
        <v>8</v>
      </c>
      <c r="W126" s="2">
        <v>3</v>
      </c>
      <c r="X126" s="2">
        <v>1</v>
      </c>
      <c r="Y126" s="2">
        <v>4</v>
      </c>
    </row>
    <row r="127" spans="1:25" x14ac:dyDescent="0.2">
      <c r="A127" t="s">
        <v>922</v>
      </c>
      <c r="U127" t="s">
        <v>1150</v>
      </c>
    </row>
    <row r="129" spans="1:25" x14ac:dyDescent="0.2">
      <c r="R129" s="109" t="s">
        <v>1161</v>
      </c>
      <c r="S129" s="109"/>
      <c r="T129" s="109" t="s">
        <v>1153</v>
      </c>
      <c r="U129" s="109">
        <v>3</v>
      </c>
      <c r="V129" s="109">
        <v>1</v>
      </c>
      <c r="W129" s="109">
        <v>1</v>
      </c>
      <c r="X129" s="109">
        <v>0</v>
      </c>
      <c r="Y129" s="109">
        <v>1</v>
      </c>
    </row>
    <row r="130" spans="1:25" x14ac:dyDescent="0.2">
      <c r="A130" t="s">
        <v>596</v>
      </c>
      <c r="R130" t="s">
        <v>156</v>
      </c>
    </row>
    <row r="131" spans="1:25" x14ac:dyDescent="0.2">
      <c r="A131" t="s">
        <v>260</v>
      </c>
      <c r="B131" t="s">
        <v>782</v>
      </c>
      <c r="C131" t="s">
        <v>344</v>
      </c>
      <c r="D131" t="s">
        <v>519</v>
      </c>
      <c r="E131" t="s">
        <v>520</v>
      </c>
      <c r="F131" t="s">
        <v>127</v>
      </c>
      <c r="G131" t="s">
        <v>89</v>
      </c>
      <c r="H131" t="s">
        <v>783</v>
      </c>
      <c r="I131" t="s">
        <v>80</v>
      </c>
      <c r="J131" t="s">
        <v>522</v>
      </c>
      <c r="K131" t="s">
        <v>289</v>
      </c>
      <c r="L131" t="s">
        <v>347</v>
      </c>
      <c r="M131" t="s">
        <v>523</v>
      </c>
      <c r="P131" t="s">
        <v>1166</v>
      </c>
      <c r="R131" t="s">
        <v>156</v>
      </c>
      <c r="U131">
        <v>5</v>
      </c>
      <c r="V131">
        <v>1.5</v>
      </c>
      <c r="W131">
        <v>3</v>
      </c>
      <c r="X131">
        <v>1</v>
      </c>
      <c r="Y131">
        <v>1</v>
      </c>
    </row>
    <row r="132" spans="1:25" x14ac:dyDescent="0.2">
      <c r="A132" t="s">
        <v>595</v>
      </c>
      <c r="B132">
        <v>4</v>
      </c>
      <c r="C132">
        <v>2000</v>
      </c>
      <c r="D132">
        <v>1</v>
      </c>
      <c r="E132">
        <v>1</v>
      </c>
      <c r="F132" t="s">
        <v>473</v>
      </c>
      <c r="G132">
        <v>6</v>
      </c>
      <c r="H132" t="s">
        <v>380</v>
      </c>
      <c r="I132">
        <v>0</v>
      </c>
      <c r="J132">
        <v>3</v>
      </c>
      <c r="K132" t="s">
        <v>367</v>
      </c>
      <c r="L132">
        <v>1.5</v>
      </c>
      <c r="M132">
        <v>2</v>
      </c>
      <c r="R132" s="2" t="s">
        <v>1149</v>
      </c>
      <c r="S132" s="2"/>
      <c r="T132" s="2"/>
      <c r="U132" s="2">
        <v>8</v>
      </c>
      <c r="V132" s="2">
        <v>2.5</v>
      </c>
      <c r="W132" s="2">
        <v>4</v>
      </c>
      <c r="X132" s="2">
        <v>1</v>
      </c>
      <c r="Y132" s="2">
        <v>2</v>
      </c>
    </row>
    <row r="133" spans="1:25" x14ac:dyDescent="0.2">
      <c r="A133" t="s">
        <v>574</v>
      </c>
      <c r="B133">
        <v>4</v>
      </c>
      <c r="C133">
        <v>1500</v>
      </c>
      <c r="D133">
        <v>1</v>
      </c>
      <c r="E133">
        <v>1</v>
      </c>
      <c r="F133" t="s">
        <v>473</v>
      </c>
      <c r="G133">
        <v>7</v>
      </c>
      <c r="H133" t="s">
        <v>380</v>
      </c>
      <c r="I133">
        <v>0</v>
      </c>
      <c r="J133">
        <v>4</v>
      </c>
      <c r="K133" t="s">
        <v>367</v>
      </c>
      <c r="L133">
        <v>1.5</v>
      </c>
      <c r="M133">
        <v>2</v>
      </c>
      <c r="R133" t="s">
        <v>1161</v>
      </c>
      <c r="U133">
        <v>11</v>
      </c>
      <c r="V133">
        <v>3.5</v>
      </c>
      <c r="W133">
        <v>5</v>
      </c>
      <c r="X133">
        <v>1</v>
      </c>
      <c r="Y133">
        <v>3</v>
      </c>
    </row>
    <row r="134" spans="1:25" x14ac:dyDescent="0.2">
      <c r="A134" t="s">
        <v>596</v>
      </c>
      <c r="B134">
        <v>3</v>
      </c>
      <c r="C134">
        <v>1000</v>
      </c>
      <c r="D134">
        <v>1</v>
      </c>
      <c r="E134">
        <v>1</v>
      </c>
      <c r="F134" t="s">
        <v>473</v>
      </c>
      <c r="G134">
        <v>5</v>
      </c>
      <c r="H134" t="s">
        <v>380</v>
      </c>
      <c r="I134">
        <v>0</v>
      </c>
      <c r="J134">
        <v>2</v>
      </c>
      <c r="K134" t="s">
        <v>367</v>
      </c>
      <c r="L134">
        <v>1.5</v>
      </c>
      <c r="M134">
        <v>2</v>
      </c>
    </row>
    <row r="135" spans="1:25" x14ac:dyDescent="0.2">
      <c r="R135" s="109" t="s">
        <v>1162</v>
      </c>
      <c r="S135" s="109"/>
      <c r="T135" s="109" t="s">
        <v>1153</v>
      </c>
      <c r="U135" s="109">
        <v>3</v>
      </c>
      <c r="V135" s="109">
        <v>1</v>
      </c>
      <c r="W135" s="109">
        <v>0</v>
      </c>
      <c r="X135" s="109">
        <v>0</v>
      </c>
      <c r="Y135" s="109">
        <v>1</v>
      </c>
    </row>
    <row r="136" spans="1:25" x14ac:dyDescent="0.2">
      <c r="A136" t="s">
        <v>784</v>
      </c>
      <c r="P136" t="s">
        <v>275</v>
      </c>
      <c r="R136" t="s">
        <v>1154</v>
      </c>
      <c r="U136">
        <v>3</v>
      </c>
      <c r="V136">
        <v>1</v>
      </c>
      <c r="W136">
        <v>3</v>
      </c>
      <c r="X136">
        <v>1</v>
      </c>
      <c r="Y136">
        <v>1</v>
      </c>
    </row>
    <row r="137" spans="1:25" x14ac:dyDescent="0.2">
      <c r="A137" t="s">
        <v>870</v>
      </c>
      <c r="B137">
        <v>6</v>
      </c>
      <c r="C137" t="s">
        <v>871</v>
      </c>
      <c r="D137">
        <v>1</v>
      </c>
      <c r="E137">
        <v>1</v>
      </c>
      <c r="F137" t="s">
        <v>473</v>
      </c>
      <c r="G137">
        <v>7</v>
      </c>
      <c r="H137" t="s">
        <v>380</v>
      </c>
      <c r="I137">
        <v>0</v>
      </c>
      <c r="J137">
        <v>2</v>
      </c>
      <c r="K137" t="s">
        <v>367</v>
      </c>
      <c r="L137">
        <v>2.5</v>
      </c>
      <c r="M137">
        <v>2</v>
      </c>
      <c r="R137" s="2" t="s">
        <v>1155</v>
      </c>
      <c r="S137" s="2"/>
      <c r="T137" s="2"/>
      <c r="U137" s="2">
        <v>6</v>
      </c>
      <c r="V137" s="2">
        <v>2</v>
      </c>
      <c r="W137" s="2">
        <v>3</v>
      </c>
      <c r="X137" s="2">
        <v>1</v>
      </c>
      <c r="Y137" s="2">
        <v>2</v>
      </c>
    </row>
    <row r="138" spans="1:25" x14ac:dyDescent="0.2">
      <c r="A138" t="s">
        <v>882</v>
      </c>
      <c r="B138">
        <v>8</v>
      </c>
      <c r="C138" t="s">
        <v>877</v>
      </c>
      <c r="D138">
        <v>1</v>
      </c>
      <c r="E138">
        <v>1.5</v>
      </c>
      <c r="F138" t="s">
        <v>473</v>
      </c>
      <c r="G138">
        <v>8</v>
      </c>
      <c r="H138" t="s">
        <v>380</v>
      </c>
      <c r="I138">
        <v>0</v>
      </c>
      <c r="J138">
        <v>4</v>
      </c>
      <c r="K138" t="s">
        <v>367</v>
      </c>
      <c r="L138">
        <v>2.6</v>
      </c>
      <c r="M138">
        <v>2</v>
      </c>
      <c r="R138" s="2" t="s">
        <v>1156</v>
      </c>
      <c r="S138" s="2"/>
      <c r="T138" s="2"/>
      <c r="U138" s="2">
        <v>9</v>
      </c>
      <c r="V138" s="2">
        <v>3</v>
      </c>
      <c r="W138" s="2">
        <v>3</v>
      </c>
      <c r="X138" s="2">
        <v>1</v>
      </c>
      <c r="Y138" s="2">
        <v>3</v>
      </c>
    </row>
    <row r="139" spans="1:25" x14ac:dyDescent="0.2">
      <c r="A139" t="s">
        <v>923</v>
      </c>
      <c r="B139">
        <v>13</v>
      </c>
      <c r="C139" t="s">
        <v>956</v>
      </c>
      <c r="D139">
        <v>1</v>
      </c>
      <c r="E139">
        <v>2</v>
      </c>
      <c r="F139" t="s">
        <v>473</v>
      </c>
      <c r="G139">
        <v>11</v>
      </c>
      <c r="H139" t="s">
        <v>380</v>
      </c>
      <c r="I139">
        <v>0</v>
      </c>
      <c r="J139">
        <v>4</v>
      </c>
      <c r="K139" t="s">
        <v>367</v>
      </c>
      <c r="L139">
        <v>4.59</v>
      </c>
      <c r="M139">
        <v>3</v>
      </c>
      <c r="R139" s="2" t="s">
        <v>1157</v>
      </c>
      <c r="S139" s="2"/>
      <c r="T139" s="2"/>
      <c r="U139" s="2">
        <v>12</v>
      </c>
      <c r="V139" s="2">
        <v>4</v>
      </c>
      <c r="W139" s="2">
        <v>3</v>
      </c>
      <c r="X139" s="2">
        <v>1</v>
      </c>
      <c r="Y139" s="2">
        <v>4</v>
      </c>
    </row>
    <row r="140" spans="1:25" x14ac:dyDescent="0.2">
      <c r="A140" t="s">
        <v>876</v>
      </c>
      <c r="B140">
        <v>8</v>
      </c>
      <c r="C140" t="s">
        <v>877</v>
      </c>
      <c r="D140">
        <v>1</v>
      </c>
      <c r="E140">
        <v>1</v>
      </c>
      <c r="F140" t="s">
        <v>473</v>
      </c>
      <c r="G140">
        <v>8</v>
      </c>
      <c r="H140" t="s">
        <v>380</v>
      </c>
      <c r="I140">
        <v>0</v>
      </c>
      <c r="J140">
        <v>3</v>
      </c>
      <c r="K140" t="s">
        <v>367</v>
      </c>
      <c r="L140">
        <v>2.6</v>
      </c>
      <c r="M140">
        <v>2</v>
      </c>
    </row>
    <row r="141" spans="1:25" x14ac:dyDescent="0.2">
      <c r="A141" t="s">
        <v>878</v>
      </c>
      <c r="B141">
        <v>9</v>
      </c>
      <c r="C141" t="s">
        <v>879</v>
      </c>
      <c r="D141">
        <v>1</v>
      </c>
      <c r="E141">
        <v>1</v>
      </c>
      <c r="F141" t="s">
        <v>473</v>
      </c>
      <c r="G141">
        <v>8</v>
      </c>
      <c r="H141" t="s">
        <v>380</v>
      </c>
      <c r="I141">
        <v>0</v>
      </c>
      <c r="J141">
        <v>3</v>
      </c>
      <c r="K141" t="s">
        <v>367</v>
      </c>
      <c r="L141">
        <v>2.29</v>
      </c>
      <c r="M141">
        <v>2</v>
      </c>
    </row>
    <row r="142" spans="1:25" x14ac:dyDescent="0.2">
      <c r="A142" t="s">
        <v>872</v>
      </c>
      <c r="B142">
        <v>12</v>
      </c>
      <c r="C142" t="s">
        <v>873</v>
      </c>
      <c r="D142">
        <v>1</v>
      </c>
      <c r="E142">
        <v>1.5</v>
      </c>
      <c r="F142" t="s">
        <v>473</v>
      </c>
      <c r="G142">
        <v>10</v>
      </c>
      <c r="H142" t="s">
        <v>380</v>
      </c>
      <c r="I142">
        <v>0</v>
      </c>
      <c r="J142">
        <v>4</v>
      </c>
      <c r="K142" t="s">
        <v>367</v>
      </c>
      <c r="L142">
        <v>3.3</v>
      </c>
      <c r="M142">
        <v>2</v>
      </c>
      <c r="R142" s="109" t="s">
        <v>1005</v>
      </c>
      <c r="S142" s="109"/>
      <c r="T142" s="109" t="s">
        <v>1158</v>
      </c>
      <c r="U142" s="109"/>
      <c r="V142" s="109"/>
      <c r="W142" s="109"/>
      <c r="X142" s="109"/>
      <c r="Y142" s="109">
        <v>1</v>
      </c>
    </row>
    <row r="143" spans="1:25" x14ac:dyDescent="0.2">
      <c r="A143" t="s">
        <v>883</v>
      </c>
      <c r="B143">
        <v>6</v>
      </c>
      <c r="C143" t="s">
        <v>884</v>
      </c>
      <c r="D143">
        <v>1</v>
      </c>
      <c r="E143">
        <v>1</v>
      </c>
      <c r="F143" t="s">
        <v>473</v>
      </c>
      <c r="G143">
        <v>5</v>
      </c>
      <c r="H143" t="s">
        <v>380</v>
      </c>
      <c r="I143">
        <v>0</v>
      </c>
      <c r="J143">
        <v>2</v>
      </c>
      <c r="K143" t="s">
        <v>367</v>
      </c>
      <c r="L143">
        <v>1.4</v>
      </c>
      <c r="M143">
        <v>2</v>
      </c>
      <c r="R143" t="s">
        <v>781</v>
      </c>
      <c r="U143">
        <v>1</v>
      </c>
      <c r="V143">
        <v>0.5</v>
      </c>
      <c r="W143">
        <v>2</v>
      </c>
      <c r="X143">
        <v>2</v>
      </c>
      <c r="Y143">
        <v>1</v>
      </c>
    </row>
    <row r="144" spans="1:25" x14ac:dyDescent="0.2">
      <c r="A144" t="s">
        <v>874</v>
      </c>
      <c r="B144">
        <v>5</v>
      </c>
      <c r="C144" t="s">
        <v>875</v>
      </c>
      <c r="D144">
        <v>1</v>
      </c>
      <c r="E144">
        <v>1</v>
      </c>
      <c r="F144" t="s">
        <v>473</v>
      </c>
      <c r="G144">
        <v>6</v>
      </c>
      <c r="H144" t="s">
        <v>380</v>
      </c>
      <c r="I144">
        <v>0</v>
      </c>
      <c r="J144">
        <v>3</v>
      </c>
      <c r="K144" t="s">
        <v>367</v>
      </c>
      <c r="L144">
        <v>1.6</v>
      </c>
      <c r="M144">
        <v>2</v>
      </c>
      <c r="R144" s="2" t="s">
        <v>1159</v>
      </c>
      <c r="S144" s="2"/>
      <c r="T144" s="2"/>
      <c r="U144" s="2">
        <v>1</v>
      </c>
      <c r="V144" s="2">
        <v>1.5</v>
      </c>
      <c r="W144" s="2">
        <v>3</v>
      </c>
      <c r="X144" s="2">
        <v>3</v>
      </c>
      <c r="Y144" s="2">
        <v>2</v>
      </c>
    </row>
    <row r="145" spans="1:25" x14ac:dyDescent="0.2">
      <c r="A145" t="s">
        <v>881</v>
      </c>
      <c r="B145">
        <v>6</v>
      </c>
      <c r="C145" t="s">
        <v>871</v>
      </c>
      <c r="D145">
        <v>1</v>
      </c>
      <c r="E145">
        <v>1</v>
      </c>
      <c r="F145" t="s">
        <v>473</v>
      </c>
      <c r="G145">
        <v>6</v>
      </c>
      <c r="H145" t="s">
        <v>787</v>
      </c>
      <c r="I145">
        <v>0</v>
      </c>
      <c r="J145">
        <v>1</v>
      </c>
      <c r="K145" t="s">
        <v>367</v>
      </c>
      <c r="L145">
        <v>1.3</v>
      </c>
      <c r="M145">
        <v>2</v>
      </c>
      <c r="R145" s="2" t="s">
        <v>1160</v>
      </c>
      <c r="S145" s="2"/>
      <c r="T145" s="2"/>
      <c r="U145" s="2">
        <v>1</v>
      </c>
      <c r="V145" s="2">
        <v>2.5</v>
      </c>
      <c r="W145" s="2">
        <v>4</v>
      </c>
      <c r="X145" s="2">
        <v>4</v>
      </c>
      <c r="Y145" s="2">
        <v>3</v>
      </c>
    </row>
    <row r="146" spans="1:25" x14ac:dyDescent="0.2">
      <c r="A146" t="s">
        <v>880</v>
      </c>
      <c r="B146">
        <v>6</v>
      </c>
      <c r="C146" t="s">
        <v>871</v>
      </c>
      <c r="D146">
        <v>1</v>
      </c>
      <c r="E146">
        <v>1.5</v>
      </c>
      <c r="F146" t="s">
        <v>473</v>
      </c>
      <c r="G146">
        <v>7</v>
      </c>
      <c r="H146" t="s">
        <v>380</v>
      </c>
      <c r="I146">
        <v>0</v>
      </c>
      <c r="J146">
        <v>3</v>
      </c>
      <c r="K146" t="s">
        <v>367</v>
      </c>
      <c r="L146">
        <v>2.5</v>
      </c>
      <c r="M146">
        <v>2</v>
      </c>
    </row>
    <row r="148" spans="1:25" x14ac:dyDescent="0.2">
      <c r="A148" t="s">
        <v>890</v>
      </c>
    </row>
    <row r="149" spans="1:25" x14ac:dyDescent="0.2">
      <c r="A149" t="s">
        <v>928</v>
      </c>
    </row>
    <row r="150" spans="1:25" x14ac:dyDescent="0.2">
      <c r="A150" t="s">
        <v>931</v>
      </c>
    </row>
    <row r="151" spans="1:25" x14ac:dyDescent="0.2">
      <c r="A151" t="s">
        <v>957</v>
      </c>
    </row>
    <row r="152" spans="1:25" x14ac:dyDescent="0.2">
      <c r="A152" t="s">
        <v>929</v>
      </c>
    </row>
    <row r="153" spans="1:25" x14ac:dyDescent="0.2">
      <c r="A153" t="s">
        <v>925</v>
      </c>
    </row>
    <row r="154" spans="1:25" x14ac:dyDescent="0.2">
      <c r="A154" t="s">
        <v>924</v>
      </c>
    </row>
    <row r="155" spans="1:25" x14ac:dyDescent="0.2">
      <c r="A155" t="s">
        <v>927</v>
      </c>
    </row>
    <row r="156" spans="1:25" x14ac:dyDescent="0.2">
      <c r="A156" t="s">
        <v>926</v>
      </c>
    </row>
    <row r="157" spans="1:25" x14ac:dyDescent="0.2">
      <c r="A157" t="s">
        <v>932</v>
      </c>
    </row>
    <row r="158" spans="1:25" x14ac:dyDescent="0.2">
      <c r="A158" t="s">
        <v>930</v>
      </c>
    </row>
    <row r="161" spans="1:13" x14ac:dyDescent="0.2">
      <c r="A161" t="s">
        <v>669</v>
      </c>
    </row>
    <row r="162" spans="1:13" x14ac:dyDescent="0.2">
      <c r="A162" t="s">
        <v>260</v>
      </c>
      <c r="B162" t="s">
        <v>782</v>
      </c>
      <c r="C162" t="s">
        <v>344</v>
      </c>
      <c r="D162" t="s">
        <v>519</v>
      </c>
      <c r="E162" t="s">
        <v>520</v>
      </c>
      <c r="F162" t="s">
        <v>127</v>
      </c>
      <c r="G162" t="s">
        <v>89</v>
      </c>
      <c r="H162" t="s">
        <v>783</v>
      </c>
      <c r="I162" t="s">
        <v>80</v>
      </c>
      <c r="J162" t="s">
        <v>522</v>
      </c>
      <c r="K162" t="s">
        <v>289</v>
      </c>
      <c r="L162" t="s">
        <v>347</v>
      </c>
      <c r="M162" t="s">
        <v>523</v>
      </c>
    </row>
    <row r="163" spans="1:13" x14ac:dyDescent="0.2">
      <c r="A163" t="s">
        <v>556</v>
      </c>
      <c r="B163">
        <v>1</v>
      </c>
      <c r="C163">
        <v>20</v>
      </c>
      <c r="D163">
        <v>2</v>
      </c>
      <c r="E163">
        <v>1</v>
      </c>
      <c r="F163" t="s">
        <v>473</v>
      </c>
      <c r="G163">
        <v>3</v>
      </c>
      <c r="H163" t="s">
        <v>382</v>
      </c>
      <c r="I163">
        <v>0</v>
      </c>
      <c r="J163">
        <v>3</v>
      </c>
      <c r="K163" t="s">
        <v>387</v>
      </c>
      <c r="L163">
        <v>2</v>
      </c>
      <c r="M163">
        <v>2</v>
      </c>
    </row>
    <row r="165" spans="1:13" x14ac:dyDescent="0.2">
      <c r="A165" t="s">
        <v>784</v>
      </c>
    </row>
    <row r="166" spans="1:13" x14ac:dyDescent="0.2">
      <c r="A166" t="s">
        <v>802</v>
      </c>
      <c r="B166">
        <v>9</v>
      </c>
      <c r="C166" t="s">
        <v>803</v>
      </c>
      <c r="D166">
        <v>1</v>
      </c>
      <c r="E166">
        <v>3</v>
      </c>
      <c r="F166">
        <v>0.5</v>
      </c>
      <c r="G166">
        <v>11</v>
      </c>
      <c r="H166" t="s">
        <v>804</v>
      </c>
      <c r="I166">
        <v>0</v>
      </c>
      <c r="J166">
        <v>8</v>
      </c>
      <c r="K166" t="s">
        <v>367</v>
      </c>
      <c r="L166">
        <v>7.5</v>
      </c>
      <c r="M166">
        <v>2</v>
      </c>
    </row>
    <row r="167" spans="1:13" x14ac:dyDescent="0.2">
      <c r="A167" t="s">
        <v>594</v>
      </c>
      <c r="B167">
        <v>6</v>
      </c>
      <c r="C167" t="s">
        <v>856</v>
      </c>
      <c r="D167">
        <v>1</v>
      </c>
      <c r="E167">
        <v>2</v>
      </c>
      <c r="F167">
        <v>1</v>
      </c>
      <c r="G167">
        <v>9</v>
      </c>
      <c r="H167" t="s">
        <v>381</v>
      </c>
      <c r="I167">
        <v>0</v>
      </c>
      <c r="J167">
        <v>4</v>
      </c>
      <c r="K167" t="s">
        <v>367</v>
      </c>
      <c r="L167">
        <v>3.5</v>
      </c>
      <c r="M167">
        <v>1</v>
      </c>
    </row>
    <row r="168" spans="1:13" x14ac:dyDescent="0.2">
      <c r="A168" t="s">
        <v>887</v>
      </c>
      <c r="B168">
        <v>3</v>
      </c>
      <c r="C168" t="s">
        <v>888</v>
      </c>
      <c r="D168">
        <v>2</v>
      </c>
      <c r="E168">
        <v>3</v>
      </c>
      <c r="F168" t="s">
        <v>473</v>
      </c>
      <c r="G168">
        <v>7</v>
      </c>
      <c r="H168" t="s">
        <v>382</v>
      </c>
      <c r="I168">
        <v>0</v>
      </c>
      <c r="J168">
        <v>7</v>
      </c>
      <c r="K168" t="s">
        <v>387</v>
      </c>
      <c r="L168">
        <v>4</v>
      </c>
      <c r="M168">
        <v>2</v>
      </c>
    </row>
    <row r="169" spans="1:13" x14ac:dyDescent="0.2">
      <c r="A169" t="s">
        <v>807</v>
      </c>
      <c r="B169">
        <v>7</v>
      </c>
      <c r="C169" t="s">
        <v>808</v>
      </c>
      <c r="D169">
        <v>1</v>
      </c>
      <c r="E169">
        <v>2</v>
      </c>
      <c r="F169" t="s">
        <v>473</v>
      </c>
      <c r="G169">
        <v>7</v>
      </c>
      <c r="H169" t="s">
        <v>804</v>
      </c>
      <c r="I169">
        <v>0</v>
      </c>
      <c r="J169">
        <v>5</v>
      </c>
      <c r="K169" t="s">
        <v>367</v>
      </c>
      <c r="L169">
        <v>4.5</v>
      </c>
      <c r="M169">
        <v>2</v>
      </c>
    </row>
    <row r="170" spans="1:13" x14ac:dyDescent="0.2">
      <c r="A170" t="s">
        <v>868</v>
      </c>
      <c r="B170">
        <v>10</v>
      </c>
      <c r="C170" t="s">
        <v>869</v>
      </c>
      <c r="D170">
        <v>1</v>
      </c>
      <c r="E170">
        <v>2</v>
      </c>
      <c r="F170" t="s">
        <v>473</v>
      </c>
      <c r="G170">
        <v>10</v>
      </c>
      <c r="H170" t="s">
        <v>380</v>
      </c>
      <c r="I170">
        <v>0</v>
      </c>
      <c r="J170">
        <v>5</v>
      </c>
      <c r="K170" t="s">
        <v>367</v>
      </c>
      <c r="L170">
        <v>3.3</v>
      </c>
      <c r="M170">
        <v>2</v>
      </c>
    </row>
    <row r="171" spans="1:13" x14ac:dyDescent="0.2">
      <c r="A171" t="s">
        <v>885</v>
      </c>
      <c r="B171">
        <v>2</v>
      </c>
      <c r="C171" t="s">
        <v>886</v>
      </c>
      <c r="D171">
        <v>2</v>
      </c>
      <c r="E171">
        <v>2</v>
      </c>
      <c r="F171" t="s">
        <v>473</v>
      </c>
      <c r="G171">
        <v>5</v>
      </c>
      <c r="H171" t="s">
        <v>382</v>
      </c>
      <c r="I171">
        <v>0</v>
      </c>
      <c r="J171">
        <v>5</v>
      </c>
      <c r="K171" t="s">
        <v>387</v>
      </c>
      <c r="L171">
        <v>3</v>
      </c>
      <c r="M171">
        <v>2</v>
      </c>
    </row>
    <row r="172" spans="1:13" x14ac:dyDescent="0.2">
      <c r="A172" t="s">
        <v>576</v>
      </c>
      <c r="B172">
        <v>11</v>
      </c>
      <c r="C172" t="s">
        <v>799</v>
      </c>
      <c r="D172">
        <v>1</v>
      </c>
      <c r="E172">
        <v>2</v>
      </c>
      <c r="F172">
        <v>0.5</v>
      </c>
      <c r="G172">
        <v>11</v>
      </c>
      <c r="H172" t="s">
        <v>787</v>
      </c>
      <c r="I172">
        <v>0</v>
      </c>
      <c r="J172">
        <v>7</v>
      </c>
      <c r="K172" t="s">
        <v>367</v>
      </c>
      <c r="L172">
        <v>4.5</v>
      </c>
      <c r="M172">
        <v>2</v>
      </c>
    </row>
    <row r="173" spans="1:13" x14ac:dyDescent="0.2">
      <c r="A173" t="s">
        <v>889</v>
      </c>
      <c r="B173">
        <v>2</v>
      </c>
      <c r="C173" t="s">
        <v>886</v>
      </c>
      <c r="D173">
        <v>2</v>
      </c>
      <c r="E173">
        <v>2</v>
      </c>
      <c r="F173" t="s">
        <v>473</v>
      </c>
      <c r="G173">
        <v>5</v>
      </c>
      <c r="H173" t="s">
        <v>382</v>
      </c>
      <c r="I173">
        <v>0</v>
      </c>
      <c r="J173">
        <v>5</v>
      </c>
      <c r="K173" t="s">
        <v>387</v>
      </c>
      <c r="L173">
        <v>3</v>
      </c>
      <c r="M173">
        <v>2</v>
      </c>
    </row>
    <row r="174" spans="1:13" x14ac:dyDescent="0.2">
      <c r="A174" t="s">
        <v>670</v>
      </c>
      <c r="B174">
        <v>2</v>
      </c>
      <c r="C174" t="s">
        <v>847</v>
      </c>
      <c r="D174">
        <v>1</v>
      </c>
      <c r="E174">
        <v>1</v>
      </c>
      <c r="F174">
        <v>1</v>
      </c>
      <c r="G174">
        <v>5</v>
      </c>
      <c r="H174" t="s">
        <v>381</v>
      </c>
      <c r="I174">
        <v>0</v>
      </c>
      <c r="J174">
        <v>2</v>
      </c>
      <c r="K174" t="s">
        <v>367</v>
      </c>
      <c r="L174">
        <v>1.5</v>
      </c>
      <c r="M174">
        <v>1</v>
      </c>
    </row>
    <row r="175" spans="1:13" x14ac:dyDescent="0.2">
      <c r="A175" t="s">
        <v>591</v>
      </c>
      <c r="B175">
        <v>8</v>
      </c>
      <c r="C175" t="s">
        <v>861</v>
      </c>
      <c r="D175">
        <v>1</v>
      </c>
      <c r="E175">
        <v>1.5</v>
      </c>
      <c r="F175">
        <v>1</v>
      </c>
      <c r="G175">
        <v>8</v>
      </c>
      <c r="H175" t="s">
        <v>381</v>
      </c>
      <c r="I175">
        <v>0</v>
      </c>
      <c r="J175">
        <v>2</v>
      </c>
      <c r="K175" t="s">
        <v>367</v>
      </c>
      <c r="L175">
        <v>2.29</v>
      </c>
      <c r="M175">
        <v>1</v>
      </c>
    </row>
    <row r="176" spans="1:13" x14ac:dyDescent="0.2">
      <c r="A176" t="s">
        <v>587</v>
      </c>
      <c r="B176">
        <v>8</v>
      </c>
      <c r="C176" t="s">
        <v>865</v>
      </c>
      <c r="D176">
        <v>1</v>
      </c>
      <c r="E176">
        <v>2</v>
      </c>
      <c r="F176" t="s">
        <v>473</v>
      </c>
      <c r="G176">
        <v>9</v>
      </c>
      <c r="H176" t="s">
        <v>380</v>
      </c>
      <c r="I176">
        <v>0</v>
      </c>
      <c r="J176">
        <v>4</v>
      </c>
      <c r="K176" t="s">
        <v>367</v>
      </c>
      <c r="L176">
        <v>3.6</v>
      </c>
      <c r="M176">
        <v>2</v>
      </c>
    </row>
    <row r="177" spans="1:13" x14ac:dyDescent="0.2">
      <c r="A177" t="s">
        <v>866</v>
      </c>
      <c r="B177">
        <v>8</v>
      </c>
      <c r="C177" t="s">
        <v>867</v>
      </c>
      <c r="D177">
        <v>1</v>
      </c>
      <c r="E177">
        <v>2</v>
      </c>
      <c r="F177" t="s">
        <v>473</v>
      </c>
      <c r="G177">
        <v>11</v>
      </c>
      <c r="H177" t="s">
        <v>380</v>
      </c>
      <c r="I177">
        <v>0</v>
      </c>
      <c r="J177">
        <v>6</v>
      </c>
      <c r="K177" t="s">
        <v>367</v>
      </c>
      <c r="L177">
        <v>3.5</v>
      </c>
      <c r="M177">
        <v>2</v>
      </c>
    </row>
    <row r="179" spans="1:13" x14ac:dyDescent="0.2">
      <c r="A179" t="s">
        <v>890</v>
      </c>
    </row>
    <row r="180" spans="1:13" x14ac:dyDescent="0.2">
      <c r="A180" t="s">
        <v>933</v>
      </c>
    </row>
    <row r="181" spans="1:13" x14ac:dyDescent="0.2">
      <c r="A181" t="s">
        <v>934</v>
      </c>
    </row>
    <row r="182" spans="1:13" x14ac:dyDescent="0.2">
      <c r="A182" t="s">
        <v>935</v>
      </c>
    </row>
    <row r="183" spans="1:13" x14ac:dyDescent="0.2">
      <c r="A183" t="s">
        <v>938</v>
      </c>
    </row>
    <row r="184" spans="1:13" x14ac:dyDescent="0.2">
      <c r="A184" t="s">
        <v>943</v>
      </c>
    </row>
    <row r="185" spans="1:13" x14ac:dyDescent="0.2">
      <c r="A185" t="s">
        <v>944</v>
      </c>
    </row>
    <row r="186" spans="1:13" x14ac:dyDescent="0.2">
      <c r="A186" t="s">
        <v>936</v>
      </c>
    </row>
    <row r="187" spans="1:13" x14ac:dyDescent="0.2">
      <c r="A187" t="s">
        <v>940</v>
      </c>
    </row>
    <row r="188" spans="1:13" x14ac:dyDescent="0.2">
      <c r="A188" t="s">
        <v>939</v>
      </c>
    </row>
    <row r="189" spans="1:13" x14ac:dyDescent="0.2">
      <c r="A189" t="s">
        <v>941</v>
      </c>
    </row>
    <row r="190" spans="1:13" x14ac:dyDescent="0.2">
      <c r="A190" t="s">
        <v>942</v>
      </c>
    </row>
    <row r="191" spans="1:13" x14ac:dyDescent="0.2">
      <c r="A191" t="s">
        <v>937</v>
      </c>
    </row>
    <row r="196" spans="1:13" x14ac:dyDescent="0.2">
      <c r="A196" t="s">
        <v>159</v>
      </c>
    </row>
    <row r="197" spans="1:13" x14ac:dyDescent="0.2">
      <c r="A197" t="s">
        <v>260</v>
      </c>
      <c r="B197" t="s">
        <v>782</v>
      </c>
      <c r="C197" t="s">
        <v>344</v>
      </c>
      <c r="D197" t="s">
        <v>519</v>
      </c>
      <c r="E197" t="s">
        <v>520</v>
      </c>
      <c r="F197" t="s">
        <v>127</v>
      </c>
      <c r="G197" t="s">
        <v>89</v>
      </c>
      <c r="H197" t="s">
        <v>783</v>
      </c>
      <c r="I197" t="s">
        <v>80</v>
      </c>
      <c r="J197" t="s">
        <v>522</v>
      </c>
      <c r="K197" t="s">
        <v>289</v>
      </c>
      <c r="L197" t="s">
        <v>347</v>
      </c>
      <c r="M197" t="s">
        <v>523</v>
      </c>
    </row>
    <row r="198" spans="1:13" x14ac:dyDescent="0.2">
      <c r="A198" t="s">
        <v>963</v>
      </c>
      <c r="B198">
        <v>2</v>
      </c>
      <c r="C198" t="s">
        <v>964</v>
      </c>
      <c r="D198">
        <v>2</v>
      </c>
      <c r="E198" t="s">
        <v>473</v>
      </c>
      <c r="F198">
        <v>30</v>
      </c>
      <c r="G198" t="s">
        <v>473</v>
      </c>
      <c r="I198">
        <v>0</v>
      </c>
      <c r="J198" t="s">
        <v>965</v>
      </c>
      <c r="K198" t="s">
        <v>387</v>
      </c>
      <c r="L198">
        <v>2</v>
      </c>
      <c r="M198">
        <v>2</v>
      </c>
    </row>
    <row r="199" spans="1:13" x14ac:dyDescent="0.2">
      <c r="A199" t="s">
        <v>960</v>
      </c>
      <c r="B199">
        <v>4</v>
      </c>
      <c r="C199" t="s">
        <v>961</v>
      </c>
      <c r="D199">
        <v>2</v>
      </c>
      <c r="E199" t="s">
        <v>473</v>
      </c>
      <c r="F199">
        <v>50</v>
      </c>
      <c r="G199" t="s">
        <v>473</v>
      </c>
      <c r="I199">
        <v>0</v>
      </c>
      <c r="J199" t="s">
        <v>962</v>
      </c>
      <c r="K199" t="s">
        <v>387</v>
      </c>
      <c r="L199">
        <v>3</v>
      </c>
      <c r="M199">
        <v>3</v>
      </c>
    </row>
    <row r="200" spans="1:13" x14ac:dyDescent="0.2">
      <c r="A200" t="s">
        <v>958</v>
      </c>
      <c r="B200">
        <v>1</v>
      </c>
      <c r="C200" t="s">
        <v>954</v>
      </c>
      <c r="D200">
        <v>2</v>
      </c>
      <c r="E200" t="s">
        <v>473</v>
      </c>
      <c r="F200">
        <v>10</v>
      </c>
      <c r="G200" t="s">
        <v>473</v>
      </c>
      <c r="I200">
        <v>0</v>
      </c>
      <c r="J200" t="s">
        <v>959</v>
      </c>
      <c r="K200" t="s">
        <v>387</v>
      </c>
      <c r="L200">
        <v>1</v>
      </c>
      <c r="M200">
        <v>1</v>
      </c>
    </row>
    <row r="202" spans="1:13" x14ac:dyDescent="0.2">
      <c r="A202" t="s">
        <v>784</v>
      </c>
    </row>
    <row r="203" spans="1:13" x14ac:dyDescent="0.2">
      <c r="A203" t="s">
        <v>968</v>
      </c>
      <c r="B203">
        <v>9</v>
      </c>
      <c r="C203" t="s">
        <v>969</v>
      </c>
      <c r="D203">
        <v>2</v>
      </c>
      <c r="E203" t="s">
        <v>473</v>
      </c>
      <c r="F203">
        <v>100</v>
      </c>
      <c r="G203" t="s">
        <v>473</v>
      </c>
      <c r="I203">
        <v>0</v>
      </c>
      <c r="J203" t="s">
        <v>962</v>
      </c>
      <c r="K203" t="s">
        <v>387</v>
      </c>
      <c r="L203">
        <v>3</v>
      </c>
      <c r="M203">
        <v>3</v>
      </c>
    </row>
    <row r="204" spans="1:13" x14ac:dyDescent="0.2">
      <c r="A204" t="s">
        <v>966</v>
      </c>
      <c r="B204">
        <v>12</v>
      </c>
      <c r="C204" t="s">
        <v>967</v>
      </c>
      <c r="D204">
        <v>2</v>
      </c>
      <c r="E204" t="s">
        <v>473</v>
      </c>
      <c r="F204">
        <v>150</v>
      </c>
      <c r="G204" t="s">
        <v>473</v>
      </c>
      <c r="I204">
        <v>0</v>
      </c>
      <c r="J204" t="s">
        <v>962</v>
      </c>
      <c r="K204" t="s">
        <v>387</v>
      </c>
      <c r="L204">
        <v>3</v>
      </c>
      <c r="M204">
        <v>3</v>
      </c>
    </row>
    <row r="206" spans="1:13" x14ac:dyDescent="0.2">
      <c r="A206" t="s">
        <v>890</v>
      </c>
    </row>
    <row r="207" spans="1:13" x14ac:dyDescent="0.2">
      <c r="A207" t="s">
        <v>971</v>
      </c>
    </row>
    <row r="208" spans="1:13" x14ac:dyDescent="0.2">
      <c r="A208" t="s">
        <v>970</v>
      </c>
    </row>
    <row r="211" spans="1:13" x14ac:dyDescent="0.2">
      <c r="A211" t="s">
        <v>604</v>
      </c>
    </row>
    <row r="212" spans="1:13" x14ac:dyDescent="0.2">
      <c r="A212" t="s">
        <v>260</v>
      </c>
      <c r="B212" t="s">
        <v>782</v>
      </c>
      <c r="C212" t="s">
        <v>344</v>
      </c>
      <c r="D212" t="s">
        <v>519</v>
      </c>
      <c r="E212" t="s">
        <v>520</v>
      </c>
      <c r="F212" t="s">
        <v>127</v>
      </c>
      <c r="G212" t="s">
        <v>89</v>
      </c>
      <c r="H212" t="s">
        <v>783</v>
      </c>
      <c r="I212" t="s">
        <v>80</v>
      </c>
      <c r="J212" t="s">
        <v>522</v>
      </c>
      <c r="K212" t="s">
        <v>289</v>
      </c>
      <c r="L212" t="s">
        <v>347</v>
      </c>
      <c r="M212" t="s">
        <v>523</v>
      </c>
    </row>
    <row r="213" spans="1:13" x14ac:dyDescent="0.2">
      <c r="A213" t="s">
        <v>604</v>
      </c>
      <c r="B213">
        <v>1</v>
      </c>
      <c r="C213" t="s">
        <v>972</v>
      </c>
      <c r="D213" t="s">
        <v>473</v>
      </c>
      <c r="E213" t="s">
        <v>473</v>
      </c>
      <c r="F213" t="s">
        <v>473</v>
      </c>
      <c r="G213">
        <v>3</v>
      </c>
      <c r="H213" t="s">
        <v>381</v>
      </c>
      <c r="I213" t="s">
        <v>473</v>
      </c>
      <c r="J213" t="s">
        <v>473</v>
      </c>
      <c r="K213" t="s">
        <v>387</v>
      </c>
      <c r="L213">
        <v>0.1</v>
      </c>
      <c r="M213">
        <v>1</v>
      </c>
    </row>
    <row r="215" spans="1:13" x14ac:dyDescent="0.2">
      <c r="A215" t="s">
        <v>784</v>
      </c>
    </row>
    <row r="216" spans="1:13" x14ac:dyDescent="0.2">
      <c r="A216" t="s">
        <v>978</v>
      </c>
      <c r="B216">
        <v>6</v>
      </c>
      <c r="C216" t="s">
        <v>947</v>
      </c>
      <c r="D216" t="s">
        <v>473</v>
      </c>
      <c r="E216" t="s">
        <v>473</v>
      </c>
      <c r="F216" t="s">
        <v>473</v>
      </c>
      <c r="G216">
        <v>2</v>
      </c>
      <c r="H216" t="s">
        <v>804</v>
      </c>
      <c r="I216" t="s">
        <v>473</v>
      </c>
      <c r="J216" t="s">
        <v>473</v>
      </c>
      <c r="K216" t="s">
        <v>367</v>
      </c>
      <c r="L216">
        <v>0.1</v>
      </c>
      <c r="M216">
        <v>1</v>
      </c>
    </row>
    <row r="217" spans="1:13" x14ac:dyDescent="0.2">
      <c r="A217" t="s">
        <v>979</v>
      </c>
      <c r="B217">
        <v>6</v>
      </c>
      <c r="C217" t="s">
        <v>947</v>
      </c>
      <c r="D217" t="s">
        <v>473</v>
      </c>
      <c r="E217" t="s">
        <v>473</v>
      </c>
      <c r="F217" t="s">
        <v>473</v>
      </c>
      <c r="G217">
        <v>8</v>
      </c>
      <c r="H217" t="s">
        <v>787</v>
      </c>
      <c r="I217" t="s">
        <v>473</v>
      </c>
      <c r="J217" t="s">
        <v>473</v>
      </c>
      <c r="K217" t="s">
        <v>367</v>
      </c>
      <c r="L217">
        <v>0.1</v>
      </c>
      <c r="M217">
        <v>1</v>
      </c>
    </row>
    <row r="218" spans="1:13" x14ac:dyDescent="0.2">
      <c r="A218" t="s">
        <v>976</v>
      </c>
      <c r="B218">
        <v>11</v>
      </c>
      <c r="C218" t="s">
        <v>954</v>
      </c>
      <c r="D218" t="s">
        <v>473</v>
      </c>
      <c r="E218" t="s">
        <v>473</v>
      </c>
      <c r="F218" t="s">
        <v>473</v>
      </c>
      <c r="G218">
        <v>13</v>
      </c>
      <c r="H218" t="s">
        <v>381</v>
      </c>
      <c r="I218" t="s">
        <v>473</v>
      </c>
      <c r="J218" t="s">
        <v>473</v>
      </c>
      <c r="K218" t="s">
        <v>367</v>
      </c>
      <c r="L218">
        <v>0.1</v>
      </c>
      <c r="M218">
        <v>1</v>
      </c>
    </row>
    <row r="219" spans="1:13" x14ac:dyDescent="0.2">
      <c r="A219" t="s">
        <v>980</v>
      </c>
      <c r="B219">
        <v>16</v>
      </c>
      <c r="C219" t="s">
        <v>964</v>
      </c>
      <c r="D219" t="s">
        <v>473</v>
      </c>
      <c r="E219" t="s">
        <v>473</v>
      </c>
      <c r="F219" t="s">
        <v>473</v>
      </c>
      <c r="G219">
        <v>23</v>
      </c>
      <c r="H219" t="s">
        <v>381</v>
      </c>
      <c r="I219" t="s">
        <v>473</v>
      </c>
      <c r="J219" t="s">
        <v>473</v>
      </c>
      <c r="K219" t="s">
        <v>367</v>
      </c>
      <c r="L219">
        <v>0.1</v>
      </c>
      <c r="M219">
        <v>1</v>
      </c>
    </row>
    <row r="220" spans="1:13" x14ac:dyDescent="0.2">
      <c r="A220" t="s">
        <v>977</v>
      </c>
      <c r="B220">
        <v>6</v>
      </c>
      <c r="C220" t="s">
        <v>947</v>
      </c>
      <c r="D220" t="s">
        <v>473</v>
      </c>
      <c r="E220" t="s">
        <v>473</v>
      </c>
      <c r="F220" t="s">
        <v>473</v>
      </c>
      <c r="G220">
        <v>8</v>
      </c>
      <c r="H220" t="s">
        <v>381</v>
      </c>
      <c r="I220" t="s">
        <v>473</v>
      </c>
      <c r="J220" t="s">
        <v>473</v>
      </c>
      <c r="K220" t="s">
        <v>367</v>
      </c>
      <c r="L220">
        <v>0.1</v>
      </c>
      <c r="M220">
        <v>1</v>
      </c>
    </row>
    <row r="221" spans="1:13" x14ac:dyDescent="0.2">
      <c r="A221" t="s">
        <v>973</v>
      </c>
      <c r="B221">
        <v>6</v>
      </c>
      <c r="C221" t="s">
        <v>947</v>
      </c>
      <c r="D221" t="s">
        <v>473</v>
      </c>
      <c r="E221" t="s">
        <v>473</v>
      </c>
      <c r="F221" t="s">
        <v>473</v>
      </c>
      <c r="G221">
        <v>8</v>
      </c>
      <c r="H221" t="s">
        <v>381</v>
      </c>
      <c r="I221" t="s">
        <v>473</v>
      </c>
      <c r="J221" t="s">
        <v>473</v>
      </c>
      <c r="K221" t="s">
        <v>367</v>
      </c>
      <c r="L221">
        <v>0.1</v>
      </c>
      <c r="M221">
        <v>1</v>
      </c>
    </row>
    <row r="222" spans="1:13" x14ac:dyDescent="0.2">
      <c r="A222" t="s">
        <v>974</v>
      </c>
      <c r="B222">
        <v>3</v>
      </c>
      <c r="C222" t="s">
        <v>975</v>
      </c>
      <c r="D222" t="s">
        <v>473</v>
      </c>
      <c r="E222" t="s">
        <v>473</v>
      </c>
      <c r="F222" t="s">
        <v>473</v>
      </c>
      <c r="G222">
        <v>3</v>
      </c>
      <c r="H222" t="s">
        <v>381</v>
      </c>
      <c r="I222" t="s">
        <v>473</v>
      </c>
      <c r="J222" t="s">
        <v>473</v>
      </c>
      <c r="K222" t="s">
        <v>367</v>
      </c>
      <c r="L222">
        <v>0.1</v>
      </c>
      <c r="M222">
        <v>1</v>
      </c>
    </row>
    <row r="224" spans="1:13" x14ac:dyDescent="0.2">
      <c r="A224" t="s">
        <v>890</v>
      </c>
    </row>
    <row r="225" spans="1:1" x14ac:dyDescent="0.2">
      <c r="A225" t="s">
        <v>981</v>
      </c>
    </row>
    <row r="226" spans="1:1" x14ac:dyDescent="0.2">
      <c r="A226" t="s">
        <v>982</v>
      </c>
    </row>
    <row r="227" spans="1:1" x14ac:dyDescent="0.2">
      <c r="A227" t="s">
        <v>983</v>
      </c>
    </row>
    <row r="228" spans="1:1" x14ac:dyDescent="0.2">
      <c r="A228" t="s">
        <v>984</v>
      </c>
    </row>
    <row r="229" spans="1:1" x14ac:dyDescent="0.2">
      <c r="A229" t="s">
        <v>985</v>
      </c>
    </row>
    <row r="230" spans="1:1" x14ac:dyDescent="0.2">
      <c r="A230" t="s">
        <v>986</v>
      </c>
    </row>
    <row r="231" spans="1:1" x14ac:dyDescent="0.2">
      <c r="A231" t="s">
        <v>987</v>
      </c>
    </row>
  </sheetData>
  <sortState ref="A216:M222">
    <sortCondition ref="A216"/>
  </sortState>
  <pageMargins left="0.7" right="0.7" top="0.75" bottom="0.75" header="0.3" footer="0.3"/>
  <pageSetup paperSize="9"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M27"/>
  <sheetViews>
    <sheetView workbookViewId="0">
      <selection activeCell="N21" sqref="N21"/>
    </sheetView>
  </sheetViews>
  <sheetFormatPr baseColWidth="10" defaultColWidth="8.83203125" defaultRowHeight="15" x14ac:dyDescent="0.2"/>
  <sheetData>
    <row r="1" spans="1:13" x14ac:dyDescent="0.2">
      <c r="A1" t="s">
        <v>988</v>
      </c>
    </row>
    <row r="2" spans="1:13" x14ac:dyDescent="0.2">
      <c r="A2" t="s">
        <v>260</v>
      </c>
      <c r="B2" t="s">
        <v>782</v>
      </c>
      <c r="C2" t="s">
        <v>344</v>
      </c>
      <c r="D2" t="s">
        <v>519</v>
      </c>
      <c r="E2" t="s">
        <v>520</v>
      </c>
      <c r="F2" t="s">
        <v>127</v>
      </c>
      <c r="G2" t="s">
        <v>89</v>
      </c>
      <c r="H2" t="s">
        <v>783</v>
      </c>
      <c r="I2" t="s">
        <v>80</v>
      </c>
      <c r="J2" t="s">
        <v>522</v>
      </c>
      <c r="K2" t="s">
        <v>289</v>
      </c>
      <c r="L2" t="s">
        <v>347</v>
      </c>
      <c r="M2" t="s">
        <v>523</v>
      </c>
    </row>
    <row r="3" spans="1:13" x14ac:dyDescent="0.2">
      <c r="A3" t="s">
        <v>996</v>
      </c>
      <c r="B3">
        <v>2</v>
      </c>
      <c r="C3" t="s">
        <v>992</v>
      </c>
      <c r="D3" t="s">
        <v>473</v>
      </c>
      <c r="E3" t="s">
        <v>473</v>
      </c>
      <c r="F3" t="s">
        <v>473</v>
      </c>
      <c r="G3">
        <v>2</v>
      </c>
      <c r="I3" t="s">
        <v>1007</v>
      </c>
      <c r="J3">
        <v>1</v>
      </c>
      <c r="K3" t="s">
        <v>473</v>
      </c>
      <c r="L3">
        <v>1</v>
      </c>
      <c r="M3" t="s">
        <v>473</v>
      </c>
    </row>
    <row r="4" spans="1:13" x14ac:dyDescent="0.2">
      <c r="A4" t="s">
        <v>999</v>
      </c>
      <c r="B4">
        <v>3</v>
      </c>
      <c r="C4" t="s">
        <v>995</v>
      </c>
      <c r="D4" t="s">
        <v>473</v>
      </c>
      <c r="E4" t="s">
        <v>473</v>
      </c>
      <c r="F4" t="s">
        <v>473</v>
      </c>
      <c r="G4">
        <v>3</v>
      </c>
      <c r="H4" t="s">
        <v>382</v>
      </c>
      <c r="I4" t="s">
        <v>1007</v>
      </c>
      <c r="J4">
        <v>2</v>
      </c>
      <c r="K4" t="s">
        <v>367</v>
      </c>
      <c r="L4">
        <v>0.5</v>
      </c>
      <c r="M4" t="s">
        <v>473</v>
      </c>
    </row>
    <row r="5" spans="1:13" x14ac:dyDescent="0.2">
      <c r="A5" t="s">
        <v>1001</v>
      </c>
      <c r="B5">
        <v>5</v>
      </c>
      <c r="C5" t="s">
        <v>532</v>
      </c>
      <c r="D5" t="s">
        <v>473</v>
      </c>
      <c r="E5" t="s">
        <v>473</v>
      </c>
      <c r="F5" t="s">
        <v>473</v>
      </c>
      <c r="G5">
        <v>2</v>
      </c>
      <c r="H5" t="s">
        <v>380</v>
      </c>
      <c r="I5" t="s">
        <v>1007</v>
      </c>
      <c r="J5">
        <v>1</v>
      </c>
      <c r="K5" t="s">
        <v>367</v>
      </c>
      <c r="L5">
        <v>0.5</v>
      </c>
      <c r="M5" t="s">
        <v>473</v>
      </c>
    </row>
    <row r="6" spans="1:13" x14ac:dyDescent="0.2">
      <c r="A6" t="s">
        <v>994</v>
      </c>
      <c r="B6">
        <v>3</v>
      </c>
      <c r="C6" t="s">
        <v>995</v>
      </c>
      <c r="D6" t="s">
        <v>473</v>
      </c>
      <c r="E6" t="s">
        <v>473</v>
      </c>
      <c r="F6" t="s">
        <v>473</v>
      </c>
      <c r="G6">
        <v>3</v>
      </c>
      <c r="H6" t="s">
        <v>380</v>
      </c>
      <c r="I6" t="s">
        <v>1007</v>
      </c>
      <c r="J6">
        <v>2</v>
      </c>
      <c r="K6" t="s">
        <v>367</v>
      </c>
      <c r="L6">
        <v>0.3</v>
      </c>
      <c r="M6" t="s">
        <v>473</v>
      </c>
    </row>
    <row r="7" spans="1:13" x14ac:dyDescent="0.2">
      <c r="A7" t="s">
        <v>536</v>
      </c>
      <c r="B7">
        <v>4</v>
      </c>
      <c r="C7" t="s">
        <v>990</v>
      </c>
      <c r="D7" t="s">
        <v>473</v>
      </c>
      <c r="E7" t="s">
        <v>473</v>
      </c>
      <c r="F7" t="s">
        <v>473</v>
      </c>
      <c r="G7">
        <v>3</v>
      </c>
      <c r="H7" t="s">
        <v>381</v>
      </c>
      <c r="I7" t="s">
        <v>1007</v>
      </c>
      <c r="J7" t="s">
        <v>1007</v>
      </c>
      <c r="K7" t="s">
        <v>367</v>
      </c>
      <c r="L7">
        <v>0.5</v>
      </c>
      <c r="M7" t="s">
        <v>473</v>
      </c>
    </row>
    <row r="8" spans="1:13" x14ac:dyDescent="0.2">
      <c r="A8" t="s">
        <v>533</v>
      </c>
      <c r="B8">
        <v>5</v>
      </c>
      <c r="C8" t="s">
        <v>532</v>
      </c>
      <c r="D8" t="s">
        <v>473</v>
      </c>
      <c r="E8" t="s">
        <v>473</v>
      </c>
      <c r="F8" t="s">
        <v>473</v>
      </c>
      <c r="G8">
        <v>2</v>
      </c>
      <c r="I8" t="s">
        <v>1007</v>
      </c>
      <c r="J8">
        <v>1</v>
      </c>
      <c r="K8" t="s">
        <v>473</v>
      </c>
      <c r="L8">
        <v>1</v>
      </c>
      <c r="M8" t="s">
        <v>473</v>
      </c>
    </row>
    <row r="9" spans="1:13" x14ac:dyDescent="0.2">
      <c r="A9" t="s">
        <v>997</v>
      </c>
      <c r="B9">
        <v>2</v>
      </c>
      <c r="C9" t="s">
        <v>992</v>
      </c>
      <c r="D9" t="s">
        <v>473</v>
      </c>
      <c r="E9" t="s">
        <v>473</v>
      </c>
      <c r="F9" t="s">
        <v>473</v>
      </c>
      <c r="G9" t="s">
        <v>1007</v>
      </c>
      <c r="I9" t="s">
        <v>1007</v>
      </c>
      <c r="J9" t="s">
        <v>1007</v>
      </c>
      <c r="K9" t="s">
        <v>473</v>
      </c>
      <c r="L9">
        <v>0.5</v>
      </c>
      <c r="M9" t="s">
        <v>473</v>
      </c>
    </row>
    <row r="10" spans="1:13" x14ac:dyDescent="0.2">
      <c r="A10" t="s">
        <v>597</v>
      </c>
      <c r="B10">
        <v>3</v>
      </c>
      <c r="C10" t="s">
        <v>995</v>
      </c>
      <c r="D10" t="s">
        <v>473</v>
      </c>
      <c r="E10" t="s">
        <v>473</v>
      </c>
      <c r="F10" t="s">
        <v>473</v>
      </c>
      <c r="G10">
        <v>1</v>
      </c>
      <c r="H10" t="s">
        <v>381</v>
      </c>
      <c r="I10" t="s">
        <v>1007</v>
      </c>
      <c r="J10">
        <f>+-1</f>
        <v>-1</v>
      </c>
      <c r="K10" t="s">
        <v>473</v>
      </c>
      <c r="L10">
        <v>0.1</v>
      </c>
      <c r="M10" t="s">
        <v>473</v>
      </c>
    </row>
    <row r="11" spans="1:13" x14ac:dyDescent="0.2">
      <c r="A11" t="s">
        <v>386</v>
      </c>
      <c r="B11">
        <v>5</v>
      </c>
      <c r="C11" t="s">
        <v>532</v>
      </c>
      <c r="D11" t="s">
        <v>473</v>
      </c>
      <c r="E11" t="s">
        <v>473</v>
      </c>
      <c r="F11" t="s">
        <v>473</v>
      </c>
      <c r="G11" t="s">
        <v>1007</v>
      </c>
      <c r="I11" t="s">
        <v>1007</v>
      </c>
      <c r="J11" t="s">
        <v>1007</v>
      </c>
      <c r="K11" t="s">
        <v>473</v>
      </c>
      <c r="L11" t="s">
        <v>473</v>
      </c>
      <c r="M11" t="s">
        <v>473</v>
      </c>
    </row>
    <row r="12" spans="1:13" x14ac:dyDescent="0.2">
      <c r="A12" t="s">
        <v>998</v>
      </c>
      <c r="B12">
        <v>1</v>
      </c>
      <c r="C12" t="s">
        <v>993</v>
      </c>
      <c r="D12" t="s">
        <v>473</v>
      </c>
      <c r="E12" t="s">
        <v>473</v>
      </c>
      <c r="F12" t="s">
        <v>473</v>
      </c>
      <c r="G12" t="s">
        <v>1007</v>
      </c>
      <c r="I12" t="s">
        <v>1007</v>
      </c>
      <c r="J12" t="s">
        <v>1007</v>
      </c>
      <c r="K12" t="s">
        <v>473</v>
      </c>
      <c r="L12">
        <v>0.1</v>
      </c>
      <c r="M12" t="s">
        <v>473</v>
      </c>
    </row>
    <row r="13" spans="1:13" x14ac:dyDescent="0.2">
      <c r="A13" t="s">
        <v>991</v>
      </c>
      <c r="B13">
        <v>2</v>
      </c>
      <c r="C13" t="s">
        <v>992</v>
      </c>
      <c r="D13" t="s">
        <v>473</v>
      </c>
      <c r="E13" t="s">
        <v>473</v>
      </c>
      <c r="F13" t="s">
        <v>473</v>
      </c>
      <c r="G13">
        <v>1</v>
      </c>
      <c r="H13" t="s">
        <v>381</v>
      </c>
      <c r="I13" t="s">
        <v>1007</v>
      </c>
      <c r="J13">
        <v>2</v>
      </c>
      <c r="K13" t="s">
        <v>367</v>
      </c>
      <c r="L13">
        <v>0.3</v>
      </c>
      <c r="M13" t="s">
        <v>473</v>
      </c>
    </row>
    <row r="14" spans="1:13" x14ac:dyDescent="0.2">
      <c r="A14" t="s">
        <v>2</v>
      </c>
      <c r="B14">
        <v>2</v>
      </c>
      <c r="C14" t="s">
        <v>992</v>
      </c>
      <c r="D14" t="s">
        <v>473</v>
      </c>
      <c r="E14" t="s">
        <v>473</v>
      </c>
      <c r="F14" t="s">
        <v>473</v>
      </c>
      <c r="G14" t="s">
        <v>1007</v>
      </c>
      <c r="I14" t="s">
        <v>1007</v>
      </c>
      <c r="J14" t="s">
        <v>1007</v>
      </c>
      <c r="K14" t="s">
        <v>473</v>
      </c>
      <c r="L14">
        <v>0.1</v>
      </c>
      <c r="M14" t="s">
        <v>473</v>
      </c>
    </row>
    <row r="15" spans="1:13" x14ac:dyDescent="0.2">
      <c r="A15" t="s">
        <v>1004</v>
      </c>
      <c r="B15">
        <v>2</v>
      </c>
      <c r="C15" t="s">
        <v>992</v>
      </c>
      <c r="D15" t="s">
        <v>473</v>
      </c>
      <c r="E15" t="s">
        <v>473</v>
      </c>
      <c r="F15" t="s">
        <v>473</v>
      </c>
      <c r="G15" t="s">
        <v>1007</v>
      </c>
      <c r="I15" t="s">
        <v>1007</v>
      </c>
      <c r="J15" t="s">
        <v>1007</v>
      </c>
      <c r="K15" t="s">
        <v>473</v>
      </c>
      <c r="L15">
        <v>0.1</v>
      </c>
      <c r="M15" t="s">
        <v>473</v>
      </c>
    </row>
    <row r="16" spans="1:13" x14ac:dyDescent="0.2">
      <c r="A16" t="s">
        <v>1006</v>
      </c>
      <c r="B16">
        <v>3</v>
      </c>
      <c r="C16" t="s">
        <v>995</v>
      </c>
      <c r="D16" t="s">
        <v>473</v>
      </c>
      <c r="E16">
        <v>0.5</v>
      </c>
      <c r="F16" t="s">
        <v>473</v>
      </c>
      <c r="G16">
        <v>2</v>
      </c>
      <c r="I16" t="s">
        <v>1007</v>
      </c>
      <c r="J16">
        <v>1</v>
      </c>
      <c r="K16" t="s">
        <v>473</v>
      </c>
      <c r="L16">
        <v>1</v>
      </c>
      <c r="M16">
        <v>0</v>
      </c>
    </row>
    <row r="17" spans="1:13" x14ac:dyDescent="0.2">
      <c r="A17" t="s">
        <v>1005</v>
      </c>
      <c r="B17">
        <v>2</v>
      </c>
      <c r="C17" t="s">
        <v>992</v>
      </c>
      <c r="D17" t="s">
        <v>473</v>
      </c>
      <c r="E17">
        <v>1</v>
      </c>
      <c r="F17" t="s">
        <v>473</v>
      </c>
      <c r="G17" t="s">
        <v>1007</v>
      </c>
      <c r="I17" t="s">
        <v>1007</v>
      </c>
      <c r="J17">
        <v>2</v>
      </c>
      <c r="K17" t="s">
        <v>473</v>
      </c>
      <c r="L17">
        <v>0.5</v>
      </c>
      <c r="M17" t="s">
        <v>473</v>
      </c>
    </row>
    <row r="18" spans="1:13" x14ac:dyDescent="0.2">
      <c r="A18" t="s">
        <v>560</v>
      </c>
      <c r="B18">
        <v>1</v>
      </c>
      <c r="C18" t="s">
        <v>992</v>
      </c>
      <c r="D18" t="s">
        <v>473</v>
      </c>
      <c r="E18">
        <v>1</v>
      </c>
      <c r="F18" t="s">
        <v>473</v>
      </c>
      <c r="G18">
        <v>2</v>
      </c>
      <c r="I18" t="s">
        <v>1007</v>
      </c>
      <c r="J18">
        <v>2</v>
      </c>
      <c r="K18" t="s">
        <v>473</v>
      </c>
      <c r="L18">
        <v>1</v>
      </c>
      <c r="M18" t="s">
        <v>473</v>
      </c>
    </row>
    <row r="19" spans="1:13" x14ac:dyDescent="0.2">
      <c r="A19" t="s">
        <v>377</v>
      </c>
      <c r="B19">
        <v>0</v>
      </c>
      <c r="C19" t="s">
        <v>992</v>
      </c>
      <c r="D19" t="s">
        <v>473</v>
      </c>
      <c r="E19" t="s">
        <v>473</v>
      </c>
      <c r="F19" t="s">
        <v>473</v>
      </c>
      <c r="G19">
        <v>1</v>
      </c>
      <c r="I19" t="s">
        <v>1007</v>
      </c>
      <c r="J19" t="s">
        <v>1007</v>
      </c>
      <c r="K19" t="s">
        <v>203</v>
      </c>
      <c r="L19">
        <v>0.2</v>
      </c>
      <c r="M19" t="s">
        <v>473</v>
      </c>
    </row>
    <row r="20" spans="1:13" x14ac:dyDescent="0.2">
      <c r="A20" t="s">
        <v>156</v>
      </c>
      <c r="B20">
        <v>1</v>
      </c>
      <c r="C20" t="s">
        <v>993</v>
      </c>
      <c r="D20" t="s">
        <v>473</v>
      </c>
      <c r="E20" t="s">
        <v>473</v>
      </c>
      <c r="F20" t="s">
        <v>473</v>
      </c>
      <c r="G20">
        <v>1</v>
      </c>
      <c r="H20" t="s">
        <v>381</v>
      </c>
      <c r="I20" t="s">
        <v>1007</v>
      </c>
      <c r="J20" t="s">
        <v>1007</v>
      </c>
      <c r="K20" t="s">
        <v>473</v>
      </c>
      <c r="L20">
        <v>0.5</v>
      </c>
      <c r="M20" t="s">
        <v>473</v>
      </c>
    </row>
    <row r="21" spans="1:13" x14ac:dyDescent="0.2">
      <c r="A21" t="s">
        <v>1002</v>
      </c>
      <c r="B21">
        <v>2</v>
      </c>
      <c r="C21" t="s">
        <v>992</v>
      </c>
      <c r="D21" t="s">
        <v>473</v>
      </c>
      <c r="E21" t="s">
        <v>473</v>
      </c>
      <c r="F21" t="s">
        <v>473</v>
      </c>
      <c r="G21" t="s">
        <v>1007</v>
      </c>
      <c r="I21" t="s">
        <v>1007</v>
      </c>
      <c r="J21" t="s">
        <v>1007</v>
      </c>
      <c r="K21" t="s">
        <v>473</v>
      </c>
      <c r="L21">
        <v>0.5</v>
      </c>
      <c r="M21" t="s">
        <v>473</v>
      </c>
    </row>
    <row r="22" spans="1:13" x14ac:dyDescent="0.2">
      <c r="A22" t="s">
        <v>558</v>
      </c>
      <c r="B22">
        <v>2</v>
      </c>
      <c r="C22" t="s">
        <v>992</v>
      </c>
      <c r="D22" t="s">
        <v>473</v>
      </c>
      <c r="E22" t="s">
        <v>473</v>
      </c>
      <c r="F22" t="s">
        <v>473</v>
      </c>
      <c r="G22">
        <v>1</v>
      </c>
      <c r="H22" t="s">
        <v>381</v>
      </c>
      <c r="I22" t="s">
        <v>1007</v>
      </c>
      <c r="J22">
        <v>0</v>
      </c>
      <c r="K22" t="s">
        <v>367</v>
      </c>
      <c r="L22">
        <v>0.5</v>
      </c>
      <c r="M22" t="s">
        <v>473</v>
      </c>
    </row>
    <row r="23" spans="1:13" x14ac:dyDescent="0.2">
      <c r="A23" t="s">
        <v>989</v>
      </c>
      <c r="B23">
        <v>5</v>
      </c>
      <c r="C23" t="s">
        <v>532</v>
      </c>
      <c r="D23">
        <v>1</v>
      </c>
      <c r="E23">
        <v>1</v>
      </c>
      <c r="F23">
        <v>-1</v>
      </c>
      <c r="G23">
        <v>2</v>
      </c>
      <c r="I23" t="s">
        <v>1007</v>
      </c>
      <c r="J23">
        <v>2</v>
      </c>
      <c r="K23" t="s">
        <v>473</v>
      </c>
      <c r="L23">
        <v>1</v>
      </c>
      <c r="M23" t="s">
        <v>473</v>
      </c>
    </row>
    <row r="24" spans="1:13" x14ac:dyDescent="0.2">
      <c r="A24" t="s">
        <v>535</v>
      </c>
      <c r="B24">
        <v>4</v>
      </c>
      <c r="C24" t="s">
        <v>990</v>
      </c>
      <c r="D24" t="s">
        <v>473</v>
      </c>
      <c r="E24" t="s">
        <v>473</v>
      </c>
      <c r="F24" t="s">
        <v>506</v>
      </c>
      <c r="G24">
        <f>+-1</f>
        <v>-1</v>
      </c>
      <c r="I24" t="s">
        <v>1007</v>
      </c>
      <c r="J24">
        <f>+-1</f>
        <v>-1</v>
      </c>
      <c r="K24" t="s">
        <v>473</v>
      </c>
      <c r="L24">
        <v>0.1</v>
      </c>
      <c r="M24" t="s">
        <v>473</v>
      </c>
    </row>
    <row r="25" spans="1:13" x14ac:dyDescent="0.2">
      <c r="A25" t="s">
        <v>530</v>
      </c>
      <c r="B25">
        <v>3</v>
      </c>
      <c r="C25" t="s">
        <v>995</v>
      </c>
      <c r="D25" t="s">
        <v>473</v>
      </c>
      <c r="E25" t="s">
        <v>473</v>
      </c>
      <c r="F25" t="s">
        <v>473</v>
      </c>
      <c r="G25">
        <v>2</v>
      </c>
      <c r="I25" t="s">
        <v>1007</v>
      </c>
      <c r="J25" t="s">
        <v>1007</v>
      </c>
      <c r="K25" t="s">
        <v>473</v>
      </c>
      <c r="L25">
        <v>1</v>
      </c>
      <c r="M25" t="s">
        <v>473</v>
      </c>
    </row>
    <row r="26" spans="1:13" x14ac:dyDescent="0.2">
      <c r="A26" t="s">
        <v>1003</v>
      </c>
      <c r="B26">
        <v>1</v>
      </c>
      <c r="C26" t="s">
        <v>993</v>
      </c>
      <c r="D26" t="s">
        <v>473</v>
      </c>
      <c r="E26" t="s">
        <v>473</v>
      </c>
      <c r="F26" t="s">
        <v>473</v>
      </c>
      <c r="G26" t="s">
        <v>1007</v>
      </c>
      <c r="I26" t="s">
        <v>1007</v>
      </c>
      <c r="J26" t="s">
        <v>1007</v>
      </c>
      <c r="K26" t="s">
        <v>473</v>
      </c>
      <c r="L26">
        <v>0.1</v>
      </c>
      <c r="M26" t="s">
        <v>473</v>
      </c>
    </row>
    <row r="27" spans="1:13" x14ac:dyDescent="0.2">
      <c r="A27" t="s">
        <v>1000</v>
      </c>
      <c r="B27">
        <v>2</v>
      </c>
      <c r="C27" t="s">
        <v>992</v>
      </c>
      <c r="D27" t="s">
        <v>473</v>
      </c>
      <c r="E27" t="s">
        <v>473</v>
      </c>
      <c r="F27" t="s">
        <v>473</v>
      </c>
      <c r="G27">
        <v>1</v>
      </c>
      <c r="I27" t="s">
        <v>1007</v>
      </c>
      <c r="J27">
        <v>1</v>
      </c>
      <c r="K27" t="s">
        <v>473</v>
      </c>
      <c r="L27">
        <v>0.5</v>
      </c>
      <c r="M27" t="s">
        <v>473</v>
      </c>
    </row>
  </sheetData>
  <sortState ref="A3:M27">
    <sortCondition ref="A2"/>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6"/>
  <sheetViews>
    <sheetView zoomScale="150" zoomScaleNormal="150" zoomScalePageLayoutView="150" workbookViewId="0">
      <selection activeCell="D36" sqref="D36"/>
    </sheetView>
  </sheetViews>
  <sheetFormatPr baseColWidth="10" defaultRowHeight="15" x14ac:dyDescent="0.2"/>
  <cols>
    <col min="1" max="1" width="16.83203125" customWidth="1"/>
    <col min="5" max="5" width="17.5" customWidth="1"/>
    <col min="6" max="6" width="37.5" customWidth="1"/>
  </cols>
  <sheetData>
    <row r="1" spans="1:10" x14ac:dyDescent="0.2">
      <c r="E1" t="s">
        <v>1195</v>
      </c>
    </row>
    <row r="2" spans="1:10" x14ac:dyDescent="0.2">
      <c r="A2" t="s">
        <v>1172</v>
      </c>
      <c r="C2" t="s">
        <v>290</v>
      </c>
      <c r="D2" t="s">
        <v>1197</v>
      </c>
      <c r="I2" t="s">
        <v>1174</v>
      </c>
      <c r="J2" t="s">
        <v>1190</v>
      </c>
    </row>
    <row r="3" spans="1:10" x14ac:dyDescent="0.2">
      <c r="A3" t="s">
        <v>303</v>
      </c>
      <c r="B3">
        <v>1</v>
      </c>
      <c r="C3" t="s">
        <v>1173</v>
      </c>
      <c r="D3" t="s">
        <v>1174</v>
      </c>
      <c r="E3" t="s">
        <v>291</v>
      </c>
      <c r="I3" t="s">
        <v>1177</v>
      </c>
      <c r="J3" t="s">
        <v>1191</v>
      </c>
    </row>
    <row r="4" spans="1:10" x14ac:dyDescent="0.2">
      <c r="A4" t="s">
        <v>337</v>
      </c>
      <c r="B4">
        <v>1</v>
      </c>
      <c r="C4" t="s">
        <v>1173</v>
      </c>
      <c r="D4" t="s">
        <v>1175</v>
      </c>
      <c r="F4" t="s">
        <v>701</v>
      </c>
      <c r="I4" t="s">
        <v>1175</v>
      </c>
      <c r="J4" t="s">
        <v>1192</v>
      </c>
    </row>
    <row r="5" spans="1:10" x14ac:dyDescent="0.2">
      <c r="A5" t="s">
        <v>295</v>
      </c>
      <c r="B5">
        <v>1</v>
      </c>
      <c r="C5" t="s">
        <v>1175</v>
      </c>
      <c r="D5" t="s">
        <v>1173</v>
      </c>
      <c r="F5" t="s">
        <v>702</v>
      </c>
      <c r="I5" t="s">
        <v>1179</v>
      </c>
      <c r="J5" t="s">
        <v>1182</v>
      </c>
    </row>
    <row r="6" spans="1:10" x14ac:dyDescent="0.2">
      <c r="A6" t="s">
        <v>292</v>
      </c>
      <c r="B6">
        <v>1</v>
      </c>
      <c r="C6" t="s">
        <v>1175</v>
      </c>
      <c r="I6" t="s">
        <v>1176</v>
      </c>
      <c r="J6" t="s">
        <v>1193</v>
      </c>
    </row>
    <row r="7" spans="1:10" x14ac:dyDescent="0.2">
      <c r="A7" t="s">
        <v>293</v>
      </c>
      <c r="B7">
        <v>1</v>
      </c>
      <c r="C7" t="s">
        <v>1196</v>
      </c>
      <c r="D7" t="s">
        <v>1175</v>
      </c>
      <c r="E7" t="s">
        <v>339</v>
      </c>
      <c r="F7" t="s">
        <v>703</v>
      </c>
      <c r="I7" t="s">
        <v>1173</v>
      </c>
      <c r="J7" t="s">
        <v>1194</v>
      </c>
    </row>
    <row r="8" spans="1:10" x14ac:dyDescent="0.2">
      <c r="A8" t="s">
        <v>294</v>
      </c>
      <c r="B8">
        <v>1</v>
      </c>
      <c r="C8" t="s">
        <v>1175</v>
      </c>
      <c r="E8" t="s">
        <v>295</v>
      </c>
    </row>
    <row r="9" spans="1:10" x14ac:dyDescent="0.2">
      <c r="A9" t="s">
        <v>291</v>
      </c>
      <c r="B9">
        <v>1</v>
      </c>
      <c r="C9" t="s">
        <v>1175</v>
      </c>
      <c r="D9" t="s">
        <v>1173</v>
      </c>
    </row>
    <row r="10" spans="1:10" x14ac:dyDescent="0.2">
      <c r="A10" t="s">
        <v>296</v>
      </c>
      <c r="B10">
        <v>1</v>
      </c>
      <c r="C10" t="s">
        <v>1175</v>
      </c>
      <c r="D10" t="s">
        <v>1177</v>
      </c>
      <c r="E10" t="s">
        <v>298</v>
      </c>
    </row>
    <row r="11" spans="1:10" x14ac:dyDescent="0.2">
      <c r="A11" t="s">
        <v>298</v>
      </c>
      <c r="B11">
        <v>1</v>
      </c>
      <c r="C11" t="s">
        <v>1177</v>
      </c>
      <c r="D11" t="s">
        <v>1173</v>
      </c>
    </row>
    <row r="13" spans="1:10" x14ac:dyDescent="0.2">
      <c r="A13" t="s">
        <v>1178</v>
      </c>
    </row>
    <row r="14" spans="1:10" x14ac:dyDescent="0.2">
      <c r="A14" t="s">
        <v>299</v>
      </c>
      <c r="B14">
        <v>1</v>
      </c>
      <c r="C14" t="s">
        <v>1177</v>
      </c>
      <c r="D14" t="s">
        <v>1174</v>
      </c>
      <c r="E14" t="s">
        <v>338</v>
      </c>
      <c r="F14" t="s">
        <v>704</v>
      </c>
    </row>
    <row r="15" spans="1:10" x14ac:dyDescent="0.2">
      <c r="A15" t="s">
        <v>300</v>
      </c>
      <c r="B15">
        <v>1</v>
      </c>
      <c r="C15" t="s">
        <v>1174</v>
      </c>
      <c r="D15" t="s">
        <v>1177</v>
      </c>
    </row>
    <row r="16" spans="1:10" x14ac:dyDescent="0.2">
      <c r="A16" t="s">
        <v>301</v>
      </c>
      <c r="B16">
        <v>1</v>
      </c>
      <c r="C16" t="s">
        <v>1174</v>
      </c>
      <c r="D16" t="s">
        <v>1173</v>
      </c>
      <c r="E16" t="s">
        <v>308</v>
      </c>
      <c r="F16" t="s">
        <v>705</v>
      </c>
    </row>
    <row r="17" spans="1:6" x14ac:dyDescent="0.2">
      <c r="A17" t="s">
        <v>302</v>
      </c>
      <c r="B17">
        <v>1</v>
      </c>
      <c r="C17" t="s">
        <v>1177</v>
      </c>
      <c r="E17" t="s">
        <v>303</v>
      </c>
    </row>
    <row r="18" spans="1:6" x14ac:dyDescent="0.2">
      <c r="A18" t="s">
        <v>304</v>
      </c>
      <c r="B18">
        <v>1</v>
      </c>
      <c r="C18" t="s">
        <v>1174</v>
      </c>
      <c r="D18" t="s">
        <v>1177</v>
      </c>
    </row>
    <row r="20" spans="1:6" x14ac:dyDescent="0.2">
      <c r="A20" t="s">
        <v>1180</v>
      </c>
    </row>
    <row r="21" spans="1:6" x14ac:dyDescent="0.2">
      <c r="A21" t="s">
        <v>709</v>
      </c>
      <c r="B21">
        <v>1</v>
      </c>
      <c r="C21" t="s">
        <v>1175</v>
      </c>
    </row>
    <row r="22" spans="1:6" x14ac:dyDescent="0.2">
      <c r="A22" t="s">
        <v>305</v>
      </c>
      <c r="B22">
        <v>1</v>
      </c>
      <c r="C22" t="s">
        <v>1175</v>
      </c>
      <c r="D22" t="s">
        <v>1196</v>
      </c>
      <c r="E22" t="s">
        <v>306</v>
      </c>
    </row>
    <row r="23" spans="1:6" x14ac:dyDescent="0.2">
      <c r="A23" t="s">
        <v>765</v>
      </c>
      <c r="B23">
        <v>1</v>
      </c>
      <c r="C23" t="s">
        <v>1175</v>
      </c>
      <c r="D23" t="s">
        <v>1196</v>
      </c>
      <c r="E23" t="s">
        <v>317</v>
      </c>
    </row>
    <row r="24" spans="1:6" x14ac:dyDescent="0.2">
      <c r="A24" t="s">
        <v>307</v>
      </c>
      <c r="B24">
        <v>1</v>
      </c>
      <c r="C24" t="s">
        <v>1175</v>
      </c>
      <c r="D24" t="s">
        <v>1173</v>
      </c>
      <c r="E24" t="s">
        <v>318</v>
      </c>
      <c r="F24" t="s">
        <v>703</v>
      </c>
    </row>
    <row r="25" spans="1:6" x14ac:dyDescent="0.2">
      <c r="A25" t="s">
        <v>205</v>
      </c>
      <c r="B25">
        <v>1</v>
      </c>
      <c r="C25" t="s">
        <v>1175</v>
      </c>
      <c r="D25" t="s">
        <v>1179</v>
      </c>
      <c r="E25" t="s">
        <v>297</v>
      </c>
    </row>
    <row r="26" spans="1:6" x14ac:dyDescent="0.2">
      <c r="A26" t="s">
        <v>308</v>
      </c>
      <c r="B26">
        <v>1</v>
      </c>
      <c r="C26" t="s">
        <v>1174</v>
      </c>
      <c r="D26" t="s">
        <v>1175</v>
      </c>
    </row>
    <row r="27" spans="1:6" x14ac:dyDescent="0.2">
      <c r="A27" t="s">
        <v>710</v>
      </c>
      <c r="B27">
        <v>1</v>
      </c>
      <c r="C27" t="s">
        <v>1175</v>
      </c>
      <c r="D27" t="s">
        <v>1174</v>
      </c>
      <c r="E27" t="s">
        <v>292</v>
      </c>
    </row>
    <row r="28" spans="1:6" x14ac:dyDescent="0.2">
      <c r="A28" t="s">
        <v>143</v>
      </c>
      <c r="B28">
        <v>1</v>
      </c>
      <c r="C28" t="s">
        <v>1175</v>
      </c>
      <c r="D28" t="s">
        <v>1174</v>
      </c>
      <c r="E28" t="s">
        <v>309</v>
      </c>
    </row>
    <row r="29" spans="1:6" x14ac:dyDescent="0.2">
      <c r="A29" t="s">
        <v>698</v>
      </c>
      <c r="B29">
        <v>1</v>
      </c>
      <c r="C29" t="s">
        <v>1175</v>
      </c>
      <c r="D29" t="s">
        <v>317</v>
      </c>
      <c r="E29" t="s">
        <v>317</v>
      </c>
    </row>
    <row r="30" spans="1:6" x14ac:dyDescent="0.2">
      <c r="A30" t="s">
        <v>310</v>
      </c>
      <c r="B30">
        <v>2</v>
      </c>
      <c r="C30" t="s">
        <v>1175</v>
      </c>
      <c r="D30" t="s">
        <v>1173</v>
      </c>
      <c r="E30" t="s">
        <v>1181</v>
      </c>
    </row>
    <row r="31" spans="1:6" x14ac:dyDescent="0.2">
      <c r="A31" t="s">
        <v>311</v>
      </c>
      <c r="B31">
        <v>1</v>
      </c>
      <c r="C31" t="s">
        <v>1175</v>
      </c>
      <c r="D31" t="s">
        <v>1177</v>
      </c>
    </row>
    <row r="33" spans="1:6" x14ac:dyDescent="0.2">
      <c r="A33" t="s">
        <v>1182</v>
      </c>
    </row>
    <row r="34" spans="1:6" x14ac:dyDescent="0.2">
      <c r="A34" t="s">
        <v>312</v>
      </c>
      <c r="B34">
        <v>1</v>
      </c>
      <c r="C34" t="s">
        <v>1174</v>
      </c>
    </row>
    <row r="35" spans="1:6" x14ac:dyDescent="0.2">
      <c r="A35" t="s">
        <v>313</v>
      </c>
      <c r="B35">
        <v>1</v>
      </c>
      <c r="C35" t="s">
        <v>1179</v>
      </c>
      <c r="D35" t="s">
        <v>1174</v>
      </c>
      <c r="E35" t="s">
        <v>312</v>
      </c>
    </row>
    <row r="36" spans="1:6" x14ac:dyDescent="0.2">
      <c r="A36" t="s">
        <v>314</v>
      </c>
      <c r="B36">
        <v>1</v>
      </c>
      <c r="C36" t="s">
        <v>1174</v>
      </c>
      <c r="D36" t="s">
        <v>1179</v>
      </c>
      <c r="E36" t="s">
        <v>312</v>
      </c>
    </row>
    <row r="37" spans="1:6" x14ac:dyDescent="0.2">
      <c r="A37" t="s">
        <v>315</v>
      </c>
      <c r="B37">
        <v>1</v>
      </c>
      <c r="C37" t="s">
        <v>1196</v>
      </c>
      <c r="D37" t="s">
        <v>1179</v>
      </c>
      <c r="E37" t="s">
        <v>316</v>
      </c>
    </row>
    <row r="38" spans="1:6" x14ac:dyDescent="0.2">
      <c r="A38" t="s">
        <v>1183</v>
      </c>
      <c r="B38">
        <v>1</v>
      </c>
      <c r="C38" t="s">
        <v>1174</v>
      </c>
      <c r="D38" t="s">
        <v>1179</v>
      </c>
    </row>
    <row r="40" spans="1:6" x14ac:dyDescent="0.2">
      <c r="A40" t="s">
        <v>1184</v>
      </c>
    </row>
    <row r="41" spans="1:6" x14ac:dyDescent="0.2">
      <c r="A41" t="s">
        <v>316</v>
      </c>
      <c r="B41">
        <v>1</v>
      </c>
      <c r="C41" t="s">
        <v>1196</v>
      </c>
      <c r="D41" t="s">
        <v>1177</v>
      </c>
      <c r="E41" t="s">
        <v>317</v>
      </c>
    </row>
    <row r="42" spans="1:6" x14ac:dyDescent="0.2">
      <c r="A42" t="s">
        <v>318</v>
      </c>
      <c r="B42">
        <v>1</v>
      </c>
      <c r="C42" t="s">
        <v>1196</v>
      </c>
      <c r="D42" t="s">
        <v>1175</v>
      </c>
      <c r="E42" t="s">
        <v>317</v>
      </c>
    </row>
    <row r="43" spans="1:6" x14ac:dyDescent="0.2">
      <c r="A43" t="s">
        <v>319</v>
      </c>
      <c r="B43">
        <v>1</v>
      </c>
      <c r="C43" t="s">
        <v>1196</v>
      </c>
      <c r="D43" t="s">
        <v>1173</v>
      </c>
      <c r="E43" t="s">
        <v>320</v>
      </c>
    </row>
    <row r="44" spans="1:6" x14ac:dyDescent="0.2">
      <c r="A44" t="s">
        <v>317</v>
      </c>
      <c r="B44">
        <v>1</v>
      </c>
      <c r="C44" t="s">
        <v>1196</v>
      </c>
      <c r="D44" t="s">
        <v>1175</v>
      </c>
      <c r="F44" t="s">
        <v>706</v>
      </c>
    </row>
    <row r="45" spans="1:6" x14ac:dyDescent="0.2">
      <c r="A45" t="s">
        <v>321</v>
      </c>
      <c r="B45">
        <v>1</v>
      </c>
      <c r="C45" t="s">
        <v>1175</v>
      </c>
      <c r="D45" t="s">
        <v>1173</v>
      </c>
      <c r="E45" t="s">
        <v>295</v>
      </c>
    </row>
    <row r="46" spans="1:6" x14ac:dyDescent="0.2">
      <c r="A46" t="s">
        <v>322</v>
      </c>
      <c r="B46">
        <v>1</v>
      </c>
      <c r="C46" t="s">
        <v>1196</v>
      </c>
      <c r="D46" t="s">
        <v>1173</v>
      </c>
      <c r="E46" t="s">
        <v>317</v>
      </c>
    </row>
    <row r="47" spans="1:6" x14ac:dyDescent="0.2">
      <c r="A47" t="s">
        <v>323</v>
      </c>
      <c r="B47">
        <v>1</v>
      </c>
      <c r="C47" t="s">
        <v>1175</v>
      </c>
      <c r="D47" t="s">
        <v>1173</v>
      </c>
    </row>
    <row r="49" spans="1:6" x14ac:dyDescent="0.2">
      <c r="A49" t="s">
        <v>1185</v>
      </c>
    </row>
    <row r="50" spans="1:6" x14ac:dyDescent="0.2">
      <c r="A50" t="s">
        <v>324</v>
      </c>
      <c r="B50">
        <v>1</v>
      </c>
      <c r="C50" t="s">
        <v>1174</v>
      </c>
      <c r="E50" t="s">
        <v>308</v>
      </c>
      <c r="F50" t="s">
        <v>705</v>
      </c>
    </row>
    <row r="51" spans="1:6" x14ac:dyDescent="0.2">
      <c r="A51" t="s">
        <v>325</v>
      </c>
      <c r="B51">
        <v>1</v>
      </c>
      <c r="C51" t="s">
        <v>1196</v>
      </c>
      <c r="D51" t="s">
        <v>1175</v>
      </c>
    </row>
    <row r="52" spans="1:6" x14ac:dyDescent="0.2">
      <c r="A52" t="s">
        <v>326</v>
      </c>
      <c r="B52">
        <v>1</v>
      </c>
      <c r="C52" t="s">
        <v>1196</v>
      </c>
      <c r="D52" t="s">
        <v>1175</v>
      </c>
      <c r="E52" t="s">
        <v>325</v>
      </c>
    </row>
    <row r="53" spans="1:6" x14ac:dyDescent="0.2">
      <c r="A53" t="s">
        <v>327</v>
      </c>
      <c r="B53">
        <v>1</v>
      </c>
      <c r="C53" t="s">
        <v>1174</v>
      </c>
    </row>
    <row r="54" spans="1:6" x14ac:dyDescent="0.2">
      <c r="A54" t="s">
        <v>329</v>
      </c>
      <c r="B54">
        <v>1</v>
      </c>
      <c r="C54" t="s">
        <v>1174</v>
      </c>
      <c r="D54" t="s">
        <v>1177</v>
      </c>
      <c r="E54" t="s">
        <v>328</v>
      </c>
    </row>
    <row r="55" spans="1:6" x14ac:dyDescent="0.2">
      <c r="A55" t="s">
        <v>328</v>
      </c>
      <c r="B55">
        <v>1</v>
      </c>
      <c r="C55" t="s">
        <v>1174</v>
      </c>
      <c r="D55" t="s">
        <v>1177</v>
      </c>
    </row>
    <row r="56" spans="1:6" x14ac:dyDescent="0.2">
      <c r="A56" t="s">
        <v>330</v>
      </c>
      <c r="B56">
        <v>1</v>
      </c>
      <c r="C56" t="s">
        <v>1174</v>
      </c>
      <c r="D56" t="s">
        <v>1177</v>
      </c>
    </row>
    <row r="57" spans="1:6" x14ac:dyDescent="0.2">
      <c r="A57" t="s">
        <v>331</v>
      </c>
      <c r="B57">
        <v>1</v>
      </c>
      <c r="C57" t="s">
        <v>1177</v>
      </c>
      <c r="D57" t="s">
        <v>1173</v>
      </c>
    </row>
    <row r="59" spans="1:6" x14ac:dyDescent="0.2">
      <c r="A59" t="s">
        <v>1186</v>
      </c>
    </row>
    <row r="60" spans="1:6" x14ac:dyDescent="0.2">
      <c r="A60" t="s">
        <v>86</v>
      </c>
      <c r="B60">
        <v>1</v>
      </c>
      <c r="C60" t="s">
        <v>1174</v>
      </c>
    </row>
    <row r="61" spans="1:6" x14ac:dyDescent="0.2">
      <c r="A61" t="s">
        <v>75</v>
      </c>
      <c r="B61">
        <v>1</v>
      </c>
      <c r="C61" t="s">
        <v>1174</v>
      </c>
      <c r="D61" t="s">
        <v>1179</v>
      </c>
      <c r="F61" t="s">
        <v>707</v>
      </c>
    </row>
    <row r="62" spans="1:6" x14ac:dyDescent="0.2">
      <c r="A62" t="s">
        <v>1187</v>
      </c>
      <c r="B62">
        <v>1</v>
      </c>
      <c r="C62" t="s">
        <v>1179</v>
      </c>
      <c r="E62" t="s">
        <v>75</v>
      </c>
    </row>
    <row r="63" spans="1:6" x14ac:dyDescent="0.2">
      <c r="A63" t="s">
        <v>332</v>
      </c>
      <c r="B63">
        <v>1</v>
      </c>
      <c r="C63" t="s">
        <v>1173</v>
      </c>
      <c r="E63" t="s">
        <v>295</v>
      </c>
    </row>
    <row r="64" spans="1:6" x14ac:dyDescent="0.2">
      <c r="A64" t="s">
        <v>333</v>
      </c>
      <c r="B64">
        <v>1</v>
      </c>
      <c r="C64" t="s">
        <v>1177</v>
      </c>
      <c r="E64" t="s">
        <v>303</v>
      </c>
    </row>
    <row r="65" spans="1:6" x14ac:dyDescent="0.2">
      <c r="A65" t="s">
        <v>1188</v>
      </c>
      <c r="B65">
        <v>1</v>
      </c>
      <c r="C65" t="s">
        <v>1179</v>
      </c>
      <c r="E65" t="s">
        <v>75</v>
      </c>
      <c r="F65" t="s">
        <v>708</v>
      </c>
    </row>
    <row r="66" spans="1:6" x14ac:dyDescent="0.2">
      <c r="A66" t="s">
        <v>1189</v>
      </c>
      <c r="B66">
        <v>1</v>
      </c>
      <c r="C66" t="s">
        <v>1174</v>
      </c>
      <c r="E66" t="s">
        <v>86</v>
      </c>
      <c r="F66" t="s">
        <v>708</v>
      </c>
    </row>
  </sheetData>
  <pageMargins left="0.75" right="0.75" top="1" bottom="1" header="0.5" footer="0.5"/>
  <pageSetup paperSize="9" orientation="portrait" horizontalDpi="4294967292" verticalDpi="429496729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64"/>
  <sheetViews>
    <sheetView tabSelected="1" topLeftCell="A127" workbookViewId="0">
      <selection activeCell="A165" sqref="A165"/>
    </sheetView>
  </sheetViews>
  <sheetFormatPr baseColWidth="10" defaultRowHeight="15" x14ac:dyDescent="0.2"/>
  <cols>
    <col min="1" max="1" width="16" customWidth="1"/>
    <col min="3" max="3" width="29.33203125" customWidth="1"/>
    <col min="4" max="4" width="15.6640625" customWidth="1"/>
    <col min="6" max="6" width="18.33203125" customWidth="1"/>
  </cols>
  <sheetData>
    <row r="1" spans="1:8" x14ac:dyDescent="0.2">
      <c r="A1" t="s">
        <v>1207</v>
      </c>
      <c r="B1" t="s">
        <v>290</v>
      </c>
      <c r="C1" t="s">
        <v>1283</v>
      </c>
      <c r="D1" t="s">
        <v>1208</v>
      </c>
      <c r="E1" t="s">
        <v>290</v>
      </c>
      <c r="F1" t="s">
        <v>1283</v>
      </c>
      <c r="G1" t="s">
        <v>1284</v>
      </c>
      <c r="H1" t="s">
        <v>1283</v>
      </c>
    </row>
    <row r="2" spans="1:8" x14ac:dyDescent="0.2">
      <c r="A2" t="s">
        <v>312</v>
      </c>
      <c r="B2" t="s">
        <v>1198</v>
      </c>
      <c r="C2" t="s">
        <v>1206</v>
      </c>
      <c r="D2" t="s">
        <v>1209</v>
      </c>
    </row>
    <row r="3" spans="1:8" x14ac:dyDescent="0.2">
      <c r="D3" t="s">
        <v>82</v>
      </c>
    </row>
    <row r="4" spans="1:8" x14ac:dyDescent="0.2">
      <c r="D4" t="s">
        <v>1263</v>
      </c>
    </row>
    <row r="5" spans="1:8" x14ac:dyDescent="0.2">
      <c r="D5" t="s">
        <v>1212</v>
      </c>
      <c r="E5" t="s">
        <v>1198</v>
      </c>
    </row>
    <row r="7" spans="1:8" x14ac:dyDescent="0.2">
      <c r="A7" t="s">
        <v>299</v>
      </c>
      <c r="B7" t="s">
        <v>1177</v>
      </c>
      <c r="D7" t="s">
        <v>1247</v>
      </c>
    </row>
    <row r="8" spans="1:8" x14ac:dyDescent="0.2">
      <c r="D8" t="s">
        <v>1210</v>
      </c>
    </row>
    <row r="9" spans="1:8" x14ac:dyDescent="0.2">
      <c r="D9" t="s">
        <v>300</v>
      </c>
    </row>
    <row r="11" spans="1:8" x14ac:dyDescent="0.2">
      <c r="A11" t="s">
        <v>316</v>
      </c>
      <c r="B11" t="s">
        <v>1199</v>
      </c>
      <c r="D11" t="s">
        <v>1200</v>
      </c>
      <c r="E11" t="s">
        <v>315</v>
      </c>
      <c r="F11" t="s">
        <v>1315</v>
      </c>
      <c r="G11" t="s">
        <v>1201</v>
      </c>
    </row>
    <row r="12" spans="1:8" x14ac:dyDescent="0.2">
      <c r="D12" t="s">
        <v>1318</v>
      </c>
    </row>
    <row r="14" spans="1:8" x14ac:dyDescent="0.2">
      <c r="A14" t="s">
        <v>1203</v>
      </c>
      <c r="B14" t="s">
        <v>280</v>
      </c>
      <c r="C14" t="s">
        <v>1264</v>
      </c>
      <c r="D14" t="s">
        <v>1218</v>
      </c>
    </row>
    <row r="15" spans="1:8" x14ac:dyDescent="0.2">
      <c r="D15" t="s">
        <v>1216</v>
      </c>
      <c r="G15" t="s">
        <v>1217</v>
      </c>
    </row>
    <row r="16" spans="1:8" x14ac:dyDescent="0.2">
      <c r="D16" t="s">
        <v>711</v>
      </c>
    </row>
    <row r="18" spans="1:7" x14ac:dyDescent="0.2">
      <c r="A18" t="s">
        <v>1211</v>
      </c>
      <c r="D18" t="s">
        <v>1243</v>
      </c>
      <c r="G18" t="s">
        <v>1303</v>
      </c>
    </row>
    <row r="19" spans="1:7" x14ac:dyDescent="0.2">
      <c r="D19" t="s">
        <v>1265</v>
      </c>
    </row>
    <row r="20" spans="1:7" x14ac:dyDescent="0.2">
      <c r="D20" t="s">
        <v>1266</v>
      </c>
    </row>
    <row r="21" spans="1:7" x14ac:dyDescent="0.2">
      <c r="D21" t="s">
        <v>1294</v>
      </c>
    </row>
    <row r="23" spans="1:7" x14ac:dyDescent="0.2">
      <c r="A23" t="s">
        <v>308</v>
      </c>
      <c r="B23" t="s">
        <v>1221</v>
      </c>
      <c r="D23" t="s">
        <v>1267</v>
      </c>
    </row>
    <row r="24" spans="1:7" x14ac:dyDescent="0.2">
      <c r="D24" t="s">
        <v>174</v>
      </c>
    </row>
    <row r="25" spans="1:7" x14ac:dyDescent="0.2">
      <c r="D25" t="s">
        <v>1269</v>
      </c>
      <c r="G25" t="s">
        <v>324</v>
      </c>
    </row>
    <row r="27" spans="1:7" x14ac:dyDescent="0.2">
      <c r="A27" t="s">
        <v>710</v>
      </c>
      <c r="C27" t="s">
        <v>1301</v>
      </c>
    </row>
    <row r="29" spans="1:7" x14ac:dyDescent="0.2">
      <c r="A29" t="s">
        <v>293</v>
      </c>
      <c r="B29" t="s">
        <v>1221</v>
      </c>
      <c r="C29" t="s">
        <v>1304</v>
      </c>
      <c r="D29" t="s">
        <v>1306</v>
      </c>
      <c r="G29" t="s">
        <v>1305</v>
      </c>
    </row>
    <row r="31" spans="1:7" x14ac:dyDescent="0.2">
      <c r="A31" t="s">
        <v>1311</v>
      </c>
      <c r="D31" t="s">
        <v>307</v>
      </c>
      <c r="E31" t="s">
        <v>1221</v>
      </c>
    </row>
    <row r="32" spans="1:7" x14ac:dyDescent="0.2">
      <c r="D32" t="s">
        <v>1312</v>
      </c>
    </row>
    <row r="33" spans="1:7" x14ac:dyDescent="0.2">
      <c r="D33" t="s">
        <v>1313</v>
      </c>
    </row>
    <row r="35" spans="1:7" x14ac:dyDescent="0.2">
      <c r="A35" t="s">
        <v>1258</v>
      </c>
      <c r="D35" t="s">
        <v>1298</v>
      </c>
      <c r="E35" t="s">
        <v>1221</v>
      </c>
      <c r="G35" t="s">
        <v>1268</v>
      </c>
    </row>
    <row r="36" spans="1:7" x14ac:dyDescent="0.2">
      <c r="D36" t="s">
        <v>1299</v>
      </c>
    </row>
    <row r="37" spans="1:7" x14ac:dyDescent="0.2">
      <c r="D37" t="s">
        <v>1300</v>
      </c>
    </row>
    <row r="38" spans="1:7" x14ac:dyDescent="0.2">
      <c r="D38" t="s">
        <v>305</v>
      </c>
      <c r="E38" t="s">
        <v>1199</v>
      </c>
    </row>
    <row r="39" spans="1:7" x14ac:dyDescent="0.2">
      <c r="D39" t="s">
        <v>318</v>
      </c>
      <c r="G39" t="s">
        <v>703</v>
      </c>
    </row>
    <row r="40" spans="1:7" x14ac:dyDescent="0.2">
      <c r="D40" t="s">
        <v>296</v>
      </c>
    </row>
    <row r="42" spans="1:7" x14ac:dyDescent="0.2">
      <c r="A42" t="s">
        <v>291</v>
      </c>
      <c r="D42" t="s">
        <v>1248</v>
      </c>
      <c r="G42" t="s">
        <v>1249</v>
      </c>
    </row>
    <row r="43" spans="1:7" x14ac:dyDescent="0.2">
      <c r="D43" t="s">
        <v>1257</v>
      </c>
    </row>
    <row r="44" spans="1:7" x14ac:dyDescent="0.2">
      <c r="D44" t="s">
        <v>1262</v>
      </c>
    </row>
    <row r="45" spans="1:7" x14ac:dyDescent="0.2">
      <c r="D45" t="s">
        <v>1314</v>
      </c>
    </row>
    <row r="47" spans="1:7" x14ac:dyDescent="0.2">
      <c r="A47" t="s">
        <v>698</v>
      </c>
      <c r="D47" t="s">
        <v>1233</v>
      </c>
    </row>
    <row r="48" spans="1:7" x14ac:dyDescent="0.2">
      <c r="D48" t="s">
        <v>176</v>
      </c>
      <c r="F48" t="s">
        <v>1321</v>
      </c>
    </row>
    <row r="49" spans="1:7" x14ac:dyDescent="0.2">
      <c r="D49" t="s">
        <v>1255</v>
      </c>
      <c r="F49" t="s">
        <v>1322</v>
      </c>
    </row>
    <row r="50" spans="1:7" x14ac:dyDescent="0.2">
      <c r="D50" t="s">
        <v>1234</v>
      </c>
      <c r="F50" t="s">
        <v>1323</v>
      </c>
    </row>
    <row r="51" spans="1:7" x14ac:dyDescent="0.2">
      <c r="D51" t="s">
        <v>1256</v>
      </c>
      <c r="F51" t="s">
        <v>1324</v>
      </c>
    </row>
    <row r="53" spans="1:7" x14ac:dyDescent="0.2">
      <c r="A53" t="s">
        <v>1308</v>
      </c>
      <c r="B53" t="s">
        <v>1173</v>
      </c>
      <c r="D53" t="s">
        <v>1307</v>
      </c>
    </row>
    <row r="54" spans="1:7" x14ac:dyDescent="0.2">
      <c r="D54" t="s">
        <v>1222</v>
      </c>
    </row>
    <row r="55" spans="1:7" x14ac:dyDescent="0.2">
      <c r="D55" t="s">
        <v>1204</v>
      </c>
    </row>
    <row r="56" spans="1:7" x14ac:dyDescent="0.2">
      <c r="D56" t="s">
        <v>1205</v>
      </c>
      <c r="E56" t="s">
        <v>1242</v>
      </c>
      <c r="G56" t="s">
        <v>296</v>
      </c>
    </row>
    <row r="57" spans="1:7" x14ac:dyDescent="0.2">
      <c r="D57" t="s">
        <v>332</v>
      </c>
      <c r="E57" t="s">
        <v>1173</v>
      </c>
    </row>
    <row r="59" spans="1:7" x14ac:dyDescent="0.2">
      <c r="A59" t="s">
        <v>1219</v>
      </c>
      <c r="B59" t="s">
        <v>1173</v>
      </c>
      <c r="D59" t="s">
        <v>1227</v>
      </c>
    </row>
    <row r="60" spans="1:7" x14ac:dyDescent="0.2">
      <c r="D60" t="s">
        <v>1285</v>
      </c>
    </row>
    <row r="61" spans="1:7" x14ac:dyDescent="0.2">
      <c r="D61" t="s">
        <v>1309</v>
      </c>
    </row>
    <row r="62" spans="1:7" x14ac:dyDescent="0.2">
      <c r="D62" t="s">
        <v>1293</v>
      </c>
    </row>
    <row r="64" spans="1:7" x14ac:dyDescent="0.2">
      <c r="A64" t="s">
        <v>1224</v>
      </c>
      <c r="C64" t="s">
        <v>1286</v>
      </c>
      <c r="D64" t="s">
        <v>1214</v>
      </c>
      <c r="F64" t="s">
        <v>1348</v>
      </c>
    </row>
    <row r="65" spans="1:4" x14ac:dyDescent="0.2">
      <c r="D65" t="s">
        <v>155</v>
      </c>
    </row>
    <row r="66" spans="1:4" x14ac:dyDescent="0.2">
      <c r="D66" t="s">
        <v>1220</v>
      </c>
    </row>
    <row r="68" spans="1:4" x14ac:dyDescent="0.2">
      <c r="A68" t="s">
        <v>1225</v>
      </c>
      <c r="C68" t="s">
        <v>1271</v>
      </c>
      <c r="D68" t="s">
        <v>297</v>
      </c>
    </row>
    <row r="69" spans="1:4" x14ac:dyDescent="0.2">
      <c r="D69" t="s">
        <v>1235</v>
      </c>
    </row>
    <row r="70" spans="1:4" x14ac:dyDescent="0.2">
      <c r="D70" t="s">
        <v>1275</v>
      </c>
    </row>
    <row r="71" spans="1:4" x14ac:dyDescent="0.2">
      <c r="D71" t="s">
        <v>1274</v>
      </c>
    </row>
    <row r="72" spans="1:4" x14ac:dyDescent="0.2">
      <c r="D72" t="s">
        <v>1273</v>
      </c>
    </row>
    <row r="73" spans="1:4" x14ac:dyDescent="0.2">
      <c r="D73" t="s">
        <v>310</v>
      </c>
    </row>
    <row r="74" spans="1:4" x14ac:dyDescent="0.2">
      <c r="D74" t="s">
        <v>1234</v>
      </c>
    </row>
    <row r="75" spans="1:4" x14ac:dyDescent="0.2">
      <c r="D75" t="s">
        <v>206</v>
      </c>
    </row>
    <row r="76" spans="1:4" x14ac:dyDescent="0.2">
      <c r="D76" t="s">
        <v>1272</v>
      </c>
    </row>
    <row r="78" spans="1:4" x14ac:dyDescent="0.2">
      <c r="A78" t="s">
        <v>304</v>
      </c>
      <c r="D78" t="s">
        <v>1260</v>
      </c>
    </row>
    <row r="79" spans="1:4" x14ac:dyDescent="0.2">
      <c r="D79" t="s">
        <v>1261</v>
      </c>
    </row>
    <row r="80" spans="1:4" x14ac:dyDescent="0.2">
      <c r="D80" t="s">
        <v>1246</v>
      </c>
    </row>
    <row r="82" spans="1:5" x14ac:dyDescent="0.2">
      <c r="A82" t="s">
        <v>1316</v>
      </c>
      <c r="D82" t="s">
        <v>322</v>
      </c>
    </row>
    <row r="83" spans="1:5" x14ac:dyDescent="0.2">
      <c r="D83" t="s">
        <v>321</v>
      </c>
    </row>
    <row r="84" spans="1:5" x14ac:dyDescent="0.2">
      <c r="D84" t="s">
        <v>318</v>
      </c>
    </row>
    <row r="85" spans="1:5" x14ac:dyDescent="0.2">
      <c r="D85" t="s">
        <v>1302</v>
      </c>
    </row>
    <row r="86" spans="1:5" x14ac:dyDescent="0.2">
      <c r="D86" t="s">
        <v>1317</v>
      </c>
    </row>
    <row r="87" spans="1:5" x14ac:dyDescent="0.2">
      <c r="D87" t="s">
        <v>319</v>
      </c>
    </row>
    <row r="88" spans="1:5" x14ac:dyDescent="0.2">
      <c r="D88" t="s">
        <v>323</v>
      </c>
    </row>
    <row r="89" spans="1:5" x14ac:dyDescent="0.2">
      <c r="D89" t="s">
        <v>1340</v>
      </c>
    </row>
    <row r="91" spans="1:5" x14ac:dyDescent="0.2">
      <c r="A91" t="s">
        <v>1226</v>
      </c>
      <c r="D91" t="s">
        <v>1202</v>
      </c>
      <c r="E91" t="s">
        <v>1222</v>
      </c>
    </row>
    <row r="92" spans="1:5" x14ac:dyDescent="0.2">
      <c r="D92" t="s">
        <v>1259</v>
      </c>
    </row>
    <row r="93" spans="1:5" x14ac:dyDescent="0.2">
      <c r="D93" t="s">
        <v>302</v>
      </c>
    </row>
    <row r="94" spans="1:5" x14ac:dyDescent="0.2">
      <c r="D94" t="s">
        <v>1319</v>
      </c>
    </row>
    <row r="96" spans="1:5" x14ac:dyDescent="0.2">
      <c r="A96" t="s">
        <v>1228</v>
      </c>
      <c r="D96" t="s">
        <v>159</v>
      </c>
    </row>
    <row r="97" spans="1:6" x14ac:dyDescent="0.2">
      <c r="D97" t="s">
        <v>160</v>
      </c>
    </row>
    <row r="99" spans="1:6" x14ac:dyDescent="0.2">
      <c r="A99" t="s">
        <v>1350</v>
      </c>
      <c r="D99" t="s">
        <v>1351</v>
      </c>
      <c r="F99" t="s">
        <v>1357</v>
      </c>
    </row>
    <row r="100" spans="1:6" x14ac:dyDescent="0.2">
      <c r="D100" t="s">
        <v>1295</v>
      </c>
      <c r="F100" t="s">
        <v>1356</v>
      </c>
    </row>
    <row r="101" spans="1:6" x14ac:dyDescent="0.2">
      <c r="D101" t="s">
        <v>1352</v>
      </c>
      <c r="F101" t="s">
        <v>1355</v>
      </c>
    </row>
    <row r="102" spans="1:6" x14ac:dyDescent="0.2">
      <c r="D102" t="s">
        <v>1353</v>
      </c>
      <c r="F102" t="s">
        <v>1354</v>
      </c>
    </row>
    <row r="104" spans="1:6" x14ac:dyDescent="0.2">
      <c r="A104" t="s">
        <v>1229</v>
      </c>
      <c r="B104" t="s">
        <v>1221</v>
      </c>
      <c r="C104" t="s">
        <v>1329</v>
      </c>
      <c r="D104" t="s">
        <v>1297</v>
      </c>
      <c r="F104" t="s">
        <v>1327</v>
      </c>
    </row>
    <row r="105" spans="1:6" x14ac:dyDescent="0.2">
      <c r="C105" t="s">
        <v>1330</v>
      </c>
      <c r="D105" t="s">
        <v>1325</v>
      </c>
      <c r="F105" t="s">
        <v>1326</v>
      </c>
    </row>
    <row r="106" spans="1:6" x14ac:dyDescent="0.2">
      <c r="D106" t="s">
        <v>1255</v>
      </c>
      <c r="F106" t="s">
        <v>1328</v>
      </c>
    </row>
    <row r="107" spans="1:6" x14ac:dyDescent="0.2">
      <c r="D107" t="s">
        <v>1256</v>
      </c>
      <c r="F107" t="s">
        <v>1331</v>
      </c>
    </row>
    <row r="109" spans="1:6" x14ac:dyDescent="0.2">
      <c r="A109" t="s">
        <v>328</v>
      </c>
      <c r="B109" t="s">
        <v>1198</v>
      </c>
      <c r="D109" t="s">
        <v>329</v>
      </c>
    </row>
    <row r="110" spans="1:6" x14ac:dyDescent="0.2">
      <c r="D110" t="s">
        <v>1236</v>
      </c>
    </row>
    <row r="111" spans="1:6" x14ac:dyDescent="0.2">
      <c r="D111" t="s">
        <v>1240</v>
      </c>
    </row>
    <row r="112" spans="1:6" x14ac:dyDescent="0.2">
      <c r="D112" t="s">
        <v>1223</v>
      </c>
    </row>
    <row r="113" spans="1:6" x14ac:dyDescent="0.2">
      <c r="D113" t="s">
        <v>1296</v>
      </c>
    </row>
    <row r="115" spans="1:6" x14ac:dyDescent="0.2">
      <c r="A115" t="s">
        <v>1244</v>
      </c>
      <c r="D115" t="s">
        <v>721</v>
      </c>
    </row>
    <row r="116" spans="1:6" x14ac:dyDescent="0.2">
      <c r="D116" t="s">
        <v>1245</v>
      </c>
    </row>
    <row r="117" spans="1:6" x14ac:dyDescent="0.2">
      <c r="D117" t="s">
        <v>1287</v>
      </c>
    </row>
    <row r="118" spans="1:6" x14ac:dyDescent="0.2">
      <c r="D118" t="s">
        <v>1320</v>
      </c>
    </row>
    <row r="120" spans="1:6" x14ac:dyDescent="0.2">
      <c r="A120" t="s">
        <v>330</v>
      </c>
      <c r="B120" t="s">
        <v>1199</v>
      </c>
      <c r="D120" t="s">
        <v>1237</v>
      </c>
    </row>
    <row r="121" spans="1:6" x14ac:dyDescent="0.2">
      <c r="D121" t="s">
        <v>1238</v>
      </c>
    </row>
    <row r="122" spans="1:6" x14ac:dyDescent="0.2">
      <c r="D122" t="s">
        <v>1239</v>
      </c>
    </row>
    <row r="123" spans="1:6" x14ac:dyDescent="0.2">
      <c r="D123" t="s">
        <v>1213</v>
      </c>
      <c r="E123" t="s">
        <v>1199</v>
      </c>
    </row>
    <row r="125" spans="1:6" x14ac:dyDescent="0.2">
      <c r="A125" t="s">
        <v>1282</v>
      </c>
      <c r="B125" t="s">
        <v>1221</v>
      </c>
      <c r="C125" t="s">
        <v>1270</v>
      </c>
      <c r="D125" t="s">
        <v>1215</v>
      </c>
    </row>
    <row r="126" spans="1:6" x14ac:dyDescent="0.2">
      <c r="D126" t="s">
        <v>1276</v>
      </c>
      <c r="F126" t="s">
        <v>1277</v>
      </c>
    </row>
    <row r="127" spans="1:6" x14ac:dyDescent="0.2">
      <c r="D127" t="s">
        <v>1278</v>
      </c>
      <c r="F127" t="s">
        <v>1279</v>
      </c>
    </row>
    <row r="128" spans="1:6" x14ac:dyDescent="0.2">
      <c r="D128" t="s">
        <v>1280</v>
      </c>
      <c r="F128" t="s">
        <v>1281</v>
      </c>
    </row>
    <row r="130" spans="1:9" x14ac:dyDescent="0.2">
      <c r="A130" t="s">
        <v>331</v>
      </c>
      <c r="B130" t="s">
        <v>1241</v>
      </c>
      <c r="C130" t="s">
        <v>1290</v>
      </c>
      <c r="D130" t="s">
        <v>1288</v>
      </c>
      <c r="F130" t="s">
        <v>1291</v>
      </c>
      <c r="G130" t="s">
        <v>1289</v>
      </c>
      <c r="I130" t="s">
        <v>1292</v>
      </c>
    </row>
    <row r="132" spans="1:9" x14ac:dyDescent="0.2">
      <c r="A132" t="s">
        <v>1230</v>
      </c>
      <c r="B132" t="s">
        <v>1173</v>
      </c>
      <c r="C132" t="s">
        <v>1286</v>
      </c>
      <c r="D132" t="s">
        <v>1347</v>
      </c>
      <c r="F132" t="s">
        <v>1345</v>
      </c>
    </row>
    <row r="133" spans="1:9" x14ac:dyDescent="0.2">
      <c r="D133" t="s">
        <v>1250</v>
      </c>
      <c r="F133" t="s">
        <v>1346</v>
      </c>
    </row>
    <row r="134" spans="1:9" x14ac:dyDescent="0.2">
      <c r="D134" t="s">
        <v>1251</v>
      </c>
    </row>
    <row r="135" spans="1:9" x14ac:dyDescent="0.2">
      <c r="D135" t="s">
        <v>1252</v>
      </c>
    </row>
    <row r="136" spans="1:9" x14ac:dyDescent="0.2">
      <c r="D136" t="s">
        <v>1253</v>
      </c>
    </row>
    <row r="137" spans="1:9" x14ac:dyDescent="0.2">
      <c r="D137" t="s">
        <v>1254</v>
      </c>
    </row>
    <row r="138" spans="1:9" x14ac:dyDescent="0.2">
      <c r="D138" t="s">
        <v>720</v>
      </c>
    </row>
    <row r="141" spans="1:9" x14ac:dyDescent="0.2">
      <c r="A141" t="s">
        <v>1231</v>
      </c>
      <c r="B141" t="s">
        <v>1221</v>
      </c>
      <c r="C141" t="s">
        <v>1349</v>
      </c>
      <c r="D141" t="s">
        <v>1232</v>
      </c>
      <c r="F141" t="s">
        <v>1337</v>
      </c>
    </row>
    <row r="142" spans="1:9" x14ac:dyDescent="0.2">
      <c r="C142" t="s">
        <v>1338</v>
      </c>
      <c r="D142" t="s">
        <v>1233</v>
      </c>
      <c r="F142" t="s">
        <v>1336</v>
      </c>
    </row>
    <row r="143" spans="1:9" x14ac:dyDescent="0.2">
      <c r="D143" t="s">
        <v>1234</v>
      </c>
      <c r="F143" t="s">
        <v>1334</v>
      </c>
    </row>
    <row r="144" spans="1:9" x14ac:dyDescent="0.2">
      <c r="C144" t="s">
        <v>1339</v>
      </c>
      <c r="D144" t="s">
        <v>1235</v>
      </c>
      <c r="F144" t="s">
        <v>1335</v>
      </c>
    </row>
    <row r="145" spans="1:6" x14ac:dyDescent="0.2">
      <c r="D145" t="s">
        <v>1310</v>
      </c>
    </row>
    <row r="146" spans="1:6" x14ac:dyDescent="0.2">
      <c r="D146" t="s">
        <v>1332</v>
      </c>
      <c r="F146" t="s">
        <v>1333</v>
      </c>
    </row>
    <row r="151" spans="1:6" x14ac:dyDescent="0.2">
      <c r="A151" t="s">
        <v>1358</v>
      </c>
      <c r="B151" t="s">
        <v>1365</v>
      </c>
    </row>
    <row r="152" spans="1:6" x14ac:dyDescent="0.2">
      <c r="A152" t="s">
        <v>1362</v>
      </c>
      <c r="B152" t="s">
        <v>1363</v>
      </c>
    </row>
    <row r="153" spans="1:6" x14ac:dyDescent="0.2">
      <c r="A153" t="s">
        <v>1341</v>
      </c>
    </row>
    <row r="154" spans="1:6" x14ac:dyDescent="0.2">
      <c r="A154" t="s">
        <v>1342</v>
      </c>
      <c r="B154" t="s">
        <v>1361</v>
      </c>
    </row>
    <row r="155" spans="1:6" x14ac:dyDescent="0.2">
      <c r="A155" t="s">
        <v>1359</v>
      </c>
    </row>
    <row r="156" spans="1:6" x14ac:dyDescent="0.2">
      <c r="A156" t="s">
        <v>1360</v>
      </c>
    </row>
    <row r="157" spans="1:6" x14ac:dyDescent="0.2">
      <c r="A157" t="s">
        <v>1343</v>
      </c>
    </row>
    <row r="158" spans="1:6" x14ac:dyDescent="0.2">
      <c r="A158" t="s">
        <v>1344</v>
      </c>
      <c r="B158" t="s">
        <v>1364</v>
      </c>
    </row>
    <row r="160" spans="1:6" x14ac:dyDescent="0.2">
      <c r="A160" t="s">
        <v>1252</v>
      </c>
    </row>
    <row r="161" spans="1:2" x14ac:dyDescent="0.2">
      <c r="A161" t="s">
        <v>1366</v>
      </c>
      <c r="B161" t="s">
        <v>1368</v>
      </c>
    </row>
    <row r="162" spans="1:2" x14ac:dyDescent="0.2">
      <c r="A162" t="s">
        <v>1367</v>
      </c>
      <c r="B162" t="s">
        <v>1370</v>
      </c>
    </row>
    <row r="163" spans="1:2" x14ac:dyDescent="0.2">
      <c r="A163" t="s">
        <v>1369</v>
      </c>
    </row>
    <row r="164" spans="1:2" x14ac:dyDescent="0.2">
      <c r="A164" t="s">
        <v>1371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Attributes</vt:lpstr>
      <vt:lpstr>Sheet2</vt:lpstr>
      <vt:lpstr>MissileSpeed</vt:lpstr>
      <vt:lpstr>Materials</vt:lpstr>
      <vt:lpstr>Categories</vt:lpstr>
      <vt:lpstr>Size&amp;Weight</vt:lpstr>
      <vt:lpstr>Treasure</vt:lpstr>
      <vt:lpstr>CharacterSheet</vt:lpstr>
      <vt:lpstr>GMScreen</vt:lpstr>
      <vt:lpstr>Weapons</vt:lpstr>
      <vt:lpstr>Modifiers</vt:lpstr>
      <vt:lpstr>Skills</vt:lpstr>
      <vt:lpstr>SkillsSpecializations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grodriguez</dc:creator>
  <cp:lastModifiedBy>Microsoft Office User</cp:lastModifiedBy>
  <cp:lastPrinted>2012-10-22T07:25:34Z</cp:lastPrinted>
  <dcterms:created xsi:type="dcterms:W3CDTF">2012-01-05T11:34:41Z</dcterms:created>
  <dcterms:modified xsi:type="dcterms:W3CDTF">2016-06-03T04:24:01Z</dcterms:modified>
</cp:coreProperties>
</file>